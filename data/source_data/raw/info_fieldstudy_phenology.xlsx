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fileSharing readOnlyRecommended="1"/>
  <workbookPr showInkAnnotation="0" autoCompressPictures="0"/>
  <mc:AlternateContent xmlns:mc="http://schemas.openxmlformats.org/markup-compatibility/2006">
    <mc:Choice Requires="x15">
      <x15ac:absPath xmlns:x15ac="http://schemas.microsoft.com/office/spreadsheetml/2010/11/ac" url="C:\Users\chrisdso\kode\trichoptera_emergence_timing\data\source_data\raw\"/>
    </mc:Choice>
  </mc:AlternateContent>
  <xr:revisionPtr revIDLastSave="0" documentId="13_ncr:1_{C7D5AC06-FA64-4382-8571-07F23C7315EC}" xr6:coauthVersionLast="47" xr6:coauthVersionMax="47" xr10:uidLastSave="{00000000-0000-0000-0000-000000000000}"/>
  <bookViews>
    <workbookView xWindow="-108" yWindow="-108" windowWidth="30936" windowHeight="16776" tabRatio="500" xr2:uid="{00000000-000D-0000-FFFF-FFFF00000000}"/>
  </bookViews>
  <sheets>
    <sheet name="events" sheetId="2" r:id="rId1"/>
    <sheet name="parent_events" sheetId="5" r:id="rId2"/>
    <sheet name="localities" sheetId="6" r:id="rId3"/>
    <sheet name="READM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S17" i="2" l="1"/>
  <c r="T17" i="2"/>
  <c r="U17" i="2"/>
  <c r="V17" i="2"/>
  <c r="W17" i="2"/>
  <c r="X17" i="2"/>
  <c r="Y17" i="2"/>
  <c r="Z17" i="2"/>
  <c r="P17" i="2"/>
  <c r="Q17" i="2" s="1"/>
  <c r="K17" i="2"/>
  <c r="L17" i="2"/>
  <c r="M17" i="2"/>
  <c r="N17" i="2"/>
  <c r="F17" i="2"/>
  <c r="G17" i="2"/>
  <c r="H17" i="2"/>
  <c r="I17" i="2"/>
  <c r="J17" i="2"/>
  <c r="J28" i="2"/>
  <c r="J29" i="2"/>
  <c r="J30" i="2"/>
  <c r="J31" i="2"/>
  <c r="J32" i="2"/>
  <c r="J58" i="2"/>
  <c r="J59" i="2"/>
  <c r="J60" i="2"/>
  <c r="J61" i="2"/>
  <c r="J62" i="2"/>
  <c r="J68" i="2"/>
  <c r="J69" i="2"/>
  <c r="J70" i="2"/>
  <c r="J71" i="2"/>
  <c r="J72" i="2"/>
  <c r="J73" i="2"/>
  <c r="J74" i="2"/>
  <c r="P123" i="2"/>
  <c r="Z123" i="2" s="1"/>
  <c r="P124" i="2"/>
  <c r="Z124" i="2" s="1"/>
  <c r="P125" i="2"/>
  <c r="Y125" i="2" s="1"/>
  <c r="P126" i="2"/>
  <c r="Y126" i="2" s="1"/>
  <c r="P127" i="2"/>
  <c r="X127" i="2" s="1"/>
  <c r="P128" i="2"/>
  <c r="X128" i="2" s="1"/>
  <c r="P129" i="2"/>
  <c r="W129" i="2" s="1"/>
  <c r="P130" i="2"/>
  <c r="W130" i="2" s="1"/>
  <c r="P131" i="2"/>
  <c r="Z131" i="2" s="1"/>
  <c r="P132" i="2"/>
  <c r="Z132" i="2" s="1"/>
  <c r="P133" i="2"/>
  <c r="Y133" i="2" s="1"/>
  <c r="P134" i="2"/>
  <c r="Y134" i="2" s="1"/>
  <c r="P135" i="2"/>
  <c r="X135" i="2" s="1"/>
  <c r="P136" i="2"/>
  <c r="X136" i="2" s="1"/>
  <c r="P137" i="2"/>
  <c r="W137" i="2" s="1"/>
  <c r="P138" i="2"/>
  <c r="W138" i="2" s="1"/>
  <c r="P139" i="2"/>
  <c r="Z139" i="2" s="1"/>
  <c r="P140" i="2"/>
  <c r="Z140" i="2" s="1"/>
  <c r="P141" i="2"/>
  <c r="Y141" i="2" s="1"/>
  <c r="P142" i="2"/>
  <c r="Y142" i="2" s="1"/>
  <c r="P143" i="2"/>
  <c r="X143" i="2" s="1"/>
  <c r="P144" i="2"/>
  <c r="X144" i="2" s="1"/>
  <c r="P145" i="2"/>
  <c r="W145" i="2" s="1"/>
  <c r="P146" i="2"/>
  <c r="W146" i="2" s="1"/>
  <c r="P147" i="2"/>
  <c r="Z147" i="2" s="1"/>
  <c r="P148" i="2"/>
  <c r="Z148" i="2" s="1"/>
  <c r="P149" i="2"/>
  <c r="Y149" i="2" s="1"/>
  <c r="P150" i="2"/>
  <c r="Y150" i="2" s="1"/>
  <c r="P151" i="2"/>
  <c r="X151" i="2" s="1"/>
  <c r="P152" i="2"/>
  <c r="X152" i="2" s="1"/>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F139" i="2"/>
  <c r="F140" i="2"/>
  <c r="F141" i="2"/>
  <c r="F142" i="2"/>
  <c r="F143" i="2"/>
  <c r="F144" i="2"/>
  <c r="F145" i="2"/>
  <c r="F146" i="2"/>
  <c r="F147" i="2"/>
  <c r="F148" i="2"/>
  <c r="F149" i="2"/>
  <c r="F150" i="2"/>
  <c r="F151" i="2"/>
  <c r="F152" i="2"/>
  <c r="F123" i="2"/>
  <c r="F124" i="2"/>
  <c r="F125" i="2"/>
  <c r="F126" i="2"/>
  <c r="F127" i="2"/>
  <c r="F128" i="2"/>
  <c r="F129" i="2"/>
  <c r="F130" i="2"/>
  <c r="F131" i="2"/>
  <c r="F132" i="2"/>
  <c r="F133" i="2"/>
  <c r="F134" i="2"/>
  <c r="F135" i="2"/>
  <c r="F136" i="2"/>
  <c r="F137" i="2"/>
  <c r="F138" i="2"/>
  <c r="P4" i="2"/>
  <c r="P44" i="2"/>
  <c r="V44" i="2" s="1"/>
  <c r="P45" i="2"/>
  <c r="T45" i="2" s="1"/>
  <c r="P46" i="2"/>
  <c r="Q46" i="2" s="1"/>
  <c r="P47" i="2"/>
  <c r="P48" i="2"/>
  <c r="W48" i="2" s="1"/>
  <c r="P49" i="2"/>
  <c r="T49" i="2" s="1"/>
  <c r="P50" i="2"/>
  <c r="R50" i="2" s="1"/>
  <c r="P51" i="2"/>
  <c r="P52" i="2"/>
  <c r="R52" i="2" s="1"/>
  <c r="P53" i="2"/>
  <c r="V53" i="2" s="1"/>
  <c r="P54" i="2"/>
  <c r="R54" i="2" s="1"/>
  <c r="P55" i="2"/>
  <c r="Q55" i="2" s="1"/>
  <c r="P56" i="2"/>
  <c r="R56" i="2" s="1"/>
  <c r="P57" i="2"/>
  <c r="Q57" i="2" s="1"/>
  <c r="P58" i="2"/>
  <c r="P59" i="2"/>
  <c r="P60" i="2"/>
  <c r="R60" i="2" s="1"/>
  <c r="P61" i="2"/>
  <c r="P62" i="2"/>
  <c r="S62" i="2" s="1"/>
  <c r="P63" i="2"/>
  <c r="S63" i="2" s="1"/>
  <c r="P64" i="2"/>
  <c r="P65" i="2"/>
  <c r="P66" i="2"/>
  <c r="P67" i="2"/>
  <c r="P68" i="2"/>
  <c r="P69" i="2"/>
  <c r="P70" i="2"/>
  <c r="P71" i="2"/>
  <c r="P72" i="2"/>
  <c r="P73" i="2"/>
  <c r="S73" i="2" s="1"/>
  <c r="P74" i="2"/>
  <c r="P75" i="2"/>
  <c r="P76" i="2"/>
  <c r="P77" i="2"/>
  <c r="Q77" i="2" s="1"/>
  <c r="P78" i="2"/>
  <c r="Q78" i="2" s="1"/>
  <c r="P79" i="2"/>
  <c r="P80" i="2"/>
  <c r="P81" i="2"/>
  <c r="T81" i="2" s="1"/>
  <c r="P82" i="2"/>
  <c r="P83" i="2"/>
  <c r="P84" i="2"/>
  <c r="R84" i="2" s="1"/>
  <c r="P85" i="2"/>
  <c r="S85" i="2" s="1"/>
  <c r="P86" i="2"/>
  <c r="U86" i="2" s="1"/>
  <c r="P87" i="2"/>
  <c r="R87" i="2" s="1"/>
  <c r="P88" i="2"/>
  <c r="P89" i="2"/>
  <c r="P90" i="2"/>
  <c r="P91" i="2"/>
  <c r="P92" i="2"/>
  <c r="P93" i="2"/>
  <c r="P94" i="2"/>
  <c r="S94" i="2" s="1"/>
  <c r="P95" i="2"/>
  <c r="S95" i="2" s="1"/>
  <c r="P96" i="2"/>
  <c r="P97" i="2"/>
  <c r="P98" i="2"/>
  <c r="P99" i="2"/>
  <c r="P100" i="2"/>
  <c r="P101" i="2"/>
  <c r="P102" i="2"/>
  <c r="P103" i="2"/>
  <c r="R103" i="2" s="1"/>
  <c r="P104" i="2"/>
  <c r="P105" i="2"/>
  <c r="P106" i="2"/>
  <c r="P107" i="2"/>
  <c r="P108" i="2"/>
  <c r="R108" i="2" s="1"/>
  <c r="P109" i="2"/>
  <c r="Q109" i="2" s="1"/>
  <c r="P110" i="2"/>
  <c r="Q110" i="2" s="1"/>
  <c r="P111" i="2"/>
  <c r="P112" i="2"/>
  <c r="P113" i="2"/>
  <c r="P114" i="2"/>
  <c r="P115" i="2"/>
  <c r="P116" i="2"/>
  <c r="R116" i="2" s="1"/>
  <c r="P117" i="2"/>
  <c r="P118" i="2"/>
  <c r="Q118" i="2" s="1"/>
  <c r="P119" i="2"/>
  <c r="Q119" i="2" s="1"/>
  <c r="P120" i="2"/>
  <c r="P121" i="2"/>
  <c r="Q121" i="2" s="1"/>
  <c r="P122" i="2"/>
  <c r="P153" i="2"/>
  <c r="P154" i="2"/>
  <c r="R154" i="2" s="1"/>
  <c r="P155" i="2"/>
  <c r="T155" i="2" s="1"/>
  <c r="P156" i="2"/>
  <c r="T156" i="2" s="1"/>
  <c r="P157" i="2"/>
  <c r="R157" i="2" s="1"/>
  <c r="P158" i="2"/>
  <c r="R158" i="2" s="1"/>
  <c r="P159" i="2"/>
  <c r="P160" i="2"/>
  <c r="R160" i="2" s="1"/>
  <c r="P161" i="2"/>
  <c r="P162" i="2"/>
  <c r="P163" i="2"/>
  <c r="P164" i="2"/>
  <c r="S164" i="2" s="1"/>
  <c r="P165" i="2"/>
  <c r="P166" i="2"/>
  <c r="T166" i="2" s="1"/>
  <c r="P167" i="2"/>
  <c r="P168" i="2"/>
  <c r="P169" i="2"/>
  <c r="P170" i="2"/>
  <c r="R170" i="2" s="1"/>
  <c r="P171" i="2"/>
  <c r="Q171" i="2" s="1"/>
  <c r="P172" i="2"/>
  <c r="Q172" i="2" s="1"/>
  <c r="P173" i="2"/>
  <c r="P174" i="2"/>
  <c r="P175" i="2"/>
  <c r="S175" i="2" s="1"/>
  <c r="P176" i="2"/>
  <c r="P177" i="2"/>
  <c r="P178" i="2"/>
  <c r="T178" i="2" s="1"/>
  <c r="P179" i="2"/>
  <c r="P180" i="2"/>
  <c r="R180" i="2" s="1"/>
  <c r="P181" i="2"/>
  <c r="R181" i="2" s="1"/>
  <c r="P182" i="2"/>
  <c r="P183" i="2"/>
  <c r="P184" i="2"/>
  <c r="P185" i="2"/>
  <c r="P186" i="2"/>
  <c r="P187" i="2"/>
  <c r="T187" i="2" s="1"/>
  <c r="P188" i="2"/>
  <c r="T188" i="2" s="1"/>
  <c r="P189" i="2"/>
  <c r="P190" i="2"/>
  <c r="P191" i="2"/>
  <c r="Q191" i="2" s="1"/>
  <c r="P192" i="2"/>
  <c r="Q192" i="2" s="1"/>
  <c r="P193" i="2"/>
  <c r="P194" i="2"/>
  <c r="P195" i="2"/>
  <c r="P196" i="2"/>
  <c r="S196" i="2" s="1"/>
  <c r="P197" i="2"/>
  <c r="R197" i="2" s="1"/>
  <c r="P198" i="2"/>
  <c r="T198" i="2" s="1"/>
  <c r="P199" i="2"/>
  <c r="T199" i="2" s="1"/>
  <c r="P200" i="2"/>
  <c r="P201" i="2"/>
  <c r="P202" i="2"/>
  <c r="R202" i="2" s="1"/>
  <c r="P203" i="2"/>
  <c r="Q203" i="2" s="1"/>
  <c r="P204" i="2"/>
  <c r="Q204" i="2" s="1"/>
  <c r="P205" i="2"/>
  <c r="P206" i="2"/>
  <c r="P207" i="2"/>
  <c r="S207" i="2" s="1"/>
  <c r="P208" i="2"/>
  <c r="T208" i="2" s="1"/>
  <c r="P209" i="2"/>
  <c r="P210" i="2"/>
  <c r="R210" i="2" s="1"/>
  <c r="P211" i="2"/>
  <c r="P212" i="2"/>
  <c r="P213" i="2"/>
  <c r="P214" i="2"/>
  <c r="P215" i="2"/>
  <c r="P216" i="2"/>
  <c r="P217" i="2"/>
  <c r="P218" i="2"/>
  <c r="R218" i="2" s="1"/>
  <c r="P219" i="2"/>
  <c r="Q219" i="2" s="1"/>
  <c r="P220" i="2"/>
  <c r="S220" i="2" s="1"/>
  <c r="P221" i="2"/>
  <c r="S221" i="2" s="1"/>
  <c r="P222" i="2"/>
  <c r="U222" i="2" s="1"/>
  <c r="P223" i="2"/>
  <c r="U223" i="2" s="1"/>
  <c r="P224" i="2"/>
  <c r="R224" i="2" s="1"/>
  <c r="P3" i="2"/>
  <c r="P5" i="2"/>
  <c r="P6" i="2"/>
  <c r="R6" i="2" s="1"/>
  <c r="P7" i="2"/>
  <c r="P8" i="2"/>
  <c r="Q8" i="2" s="1"/>
  <c r="P9" i="2"/>
  <c r="R9" i="2" s="1"/>
  <c r="P10" i="2"/>
  <c r="R10" i="2" s="1"/>
  <c r="P11" i="2"/>
  <c r="P12" i="2"/>
  <c r="P13" i="2"/>
  <c r="Q13" i="2" s="1"/>
  <c r="P14" i="2"/>
  <c r="P15" i="2"/>
  <c r="P16" i="2"/>
  <c r="T16" i="2" s="1"/>
  <c r="P18" i="2"/>
  <c r="P19" i="2"/>
  <c r="P20" i="2"/>
  <c r="P21" i="2"/>
  <c r="P22" i="2"/>
  <c r="Q22" i="2" s="1"/>
  <c r="P23" i="2"/>
  <c r="Q23" i="2" s="1"/>
  <c r="P24" i="2"/>
  <c r="P25" i="2"/>
  <c r="P26" i="2"/>
  <c r="P27" i="2"/>
  <c r="P28" i="2"/>
  <c r="P29" i="2"/>
  <c r="P30" i="2"/>
  <c r="Q30" i="2" s="1"/>
  <c r="P31" i="2"/>
  <c r="R31" i="2" s="1"/>
  <c r="P32" i="2"/>
  <c r="R32" i="2" s="1"/>
  <c r="P33" i="2"/>
  <c r="Q33" i="2" s="1"/>
  <c r="P34" i="2"/>
  <c r="Q34" i="2" s="1"/>
  <c r="P35" i="2"/>
  <c r="Q35" i="2" s="1"/>
  <c r="P36" i="2"/>
  <c r="P37" i="2"/>
  <c r="P38" i="2"/>
  <c r="P39" i="2"/>
  <c r="R39" i="2" s="1"/>
  <c r="P40" i="2"/>
  <c r="P41" i="2"/>
  <c r="P42" i="2"/>
  <c r="R42" i="2" s="1"/>
  <c r="P43" i="2"/>
  <c r="P2" i="2"/>
  <c r="L2" i="2"/>
  <c r="N3" i="2"/>
  <c r="N4" i="2"/>
  <c r="N5" i="2"/>
  <c r="N6" i="2"/>
  <c r="N7" i="2"/>
  <c r="N8" i="2"/>
  <c r="N9" i="2"/>
  <c r="N10" i="2"/>
  <c r="N11" i="2"/>
  <c r="N12" i="2"/>
  <c r="N13" i="2"/>
  <c r="N14" i="2"/>
  <c r="N15" i="2"/>
  <c r="N16"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 i="2"/>
  <c r="M3" i="2"/>
  <c r="M4" i="2"/>
  <c r="M5" i="2"/>
  <c r="M6" i="2"/>
  <c r="M7" i="2"/>
  <c r="M8" i="2"/>
  <c r="M9" i="2"/>
  <c r="M10" i="2"/>
  <c r="M11" i="2"/>
  <c r="M12" i="2"/>
  <c r="M13" i="2"/>
  <c r="M14" i="2"/>
  <c r="M15" i="2"/>
  <c r="M16"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 i="2"/>
  <c r="L3" i="2"/>
  <c r="L4" i="2"/>
  <c r="L5" i="2"/>
  <c r="L6" i="2"/>
  <c r="L7" i="2"/>
  <c r="L8" i="2"/>
  <c r="L9" i="2"/>
  <c r="L10" i="2"/>
  <c r="L11" i="2"/>
  <c r="L12" i="2"/>
  <c r="L13" i="2"/>
  <c r="L14" i="2"/>
  <c r="L15" i="2"/>
  <c r="L16"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K3" i="2"/>
  <c r="K4" i="2"/>
  <c r="K5" i="2"/>
  <c r="K6" i="2"/>
  <c r="K7" i="2"/>
  <c r="K8" i="2"/>
  <c r="K9" i="2"/>
  <c r="K10" i="2"/>
  <c r="K11" i="2"/>
  <c r="K12" i="2"/>
  <c r="K13" i="2"/>
  <c r="K14" i="2"/>
  <c r="K15" i="2"/>
  <c r="K16"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 i="2"/>
  <c r="J41" i="2"/>
  <c r="J42" i="2"/>
  <c r="J43" i="2"/>
  <c r="J44" i="2"/>
  <c r="J45" i="2"/>
  <c r="J46" i="2"/>
  <c r="J47" i="2"/>
  <c r="J48" i="2"/>
  <c r="J49" i="2"/>
  <c r="J50" i="2"/>
  <c r="J51" i="2"/>
  <c r="J52" i="2"/>
  <c r="J53" i="2"/>
  <c r="J54" i="2"/>
  <c r="J55" i="2"/>
  <c r="J56" i="2"/>
  <c r="J57" i="2"/>
  <c r="J63" i="2"/>
  <c r="J64" i="2"/>
  <c r="J65" i="2"/>
  <c r="J66" i="2"/>
  <c r="J67"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3" i="2"/>
  <c r="J4" i="2"/>
  <c r="J5" i="2"/>
  <c r="J6" i="2"/>
  <c r="J7" i="2"/>
  <c r="J8" i="2"/>
  <c r="J9" i="2"/>
  <c r="J10" i="2"/>
  <c r="J11" i="2"/>
  <c r="J12" i="2"/>
  <c r="J13" i="2"/>
  <c r="J14" i="2"/>
  <c r="J15" i="2"/>
  <c r="J16" i="2"/>
  <c r="J18" i="2"/>
  <c r="J19" i="2"/>
  <c r="J20" i="2"/>
  <c r="J21" i="2"/>
  <c r="J22" i="2"/>
  <c r="J23" i="2"/>
  <c r="J24" i="2"/>
  <c r="J25" i="2"/>
  <c r="J26" i="2"/>
  <c r="J27" i="2"/>
  <c r="J33" i="2"/>
  <c r="J34" i="2"/>
  <c r="J35" i="2"/>
  <c r="J36" i="2"/>
  <c r="J37" i="2"/>
  <c r="J38" i="2"/>
  <c r="J39" i="2"/>
  <c r="J40" i="2"/>
  <c r="J2" i="2"/>
  <c r="I2" i="2"/>
  <c r="I3" i="2"/>
  <c r="I4" i="2"/>
  <c r="I5" i="2"/>
  <c r="I6" i="2"/>
  <c r="I7" i="2"/>
  <c r="I8" i="2"/>
  <c r="I9" i="2"/>
  <c r="I10" i="2"/>
  <c r="I11" i="2"/>
  <c r="I12" i="2"/>
  <c r="I13" i="2"/>
  <c r="I14"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H3" i="2"/>
  <c r="H4" i="2"/>
  <c r="H5" i="2"/>
  <c r="H6" i="2"/>
  <c r="H7" i="2"/>
  <c r="H8" i="2"/>
  <c r="H9" i="2"/>
  <c r="H10" i="2"/>
  <c r="H11" i="2"/>
  <c r="H12" i="2"/>
  <c r="H13" i="2"/>
  <c r="H14" i="2"/>
  <c r="H15" i="2"/>
  <c r="H16"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 i="2"/>
  <c r="G3" i="2"/>
  <c r="G4" i="2"/>
  <c r="G5" i="2"/>
  <c r="G6" i="2"/>
  <c r="G7" i="2"/>
  <c r="G8" i="2"/>
  <c r="G9" i="2"/>
  <c r="G10" i="2"/>
  <c r="G11" i="2"/>
  <c r="G12" i="2"/>
  <c r="G13" i="2"/>
  <c r="G14" i="2"/>
  <c r="G15" i="2"/>
  <c r="G16"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3" i="2"/>
  <c r="F4" i="2"/>
  <c r="F5" i="2"/>
  <c r="F6" i="2"/>
  <c r="F7" i="2"/>
  <c r="F8" i="2"/>
  <c r="F9" i="2"/>
  <c r="F10" i="2"/>
  <c r="F11" i="2"/>
  <c r="F12" i="2"/>
  <c r="F13" i="2"/>
  <c r="F14" i="2"/>
  <c r="F15" i="2"/>
  <c r="F16"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2" i="2"/>
  <c r="R17" i="2" l="1"/>
  <c r="Q148" i="2"/>
  <c r="Q140" i="2"/>
  <c r="Q132" i="2"/>
  <c r="Q124" i="2"/>
  <c r="R146" i="2"/>
  <c r="R138" i="2"/>
  <c r="R130" i="2"/>
  <c r="S152" i="2"/>
  <c r="S144" i="2"/>
  <c r="S136" i="2"/>
  <c r="S128" i="2"/>
  <c r="T150" i="2"/>
  <c r="T142" i="2"/>
  <c r="T134" i="2"/>
  <c r="T126" i="2"/>
  <c r="U148" i="2"/>
  <c r="U140" i="2"/>
  <c r="U132" i="2"/>
  <c r="U124" i="2"/>
  <c r="V146" i="2"/>
  <c r="V138" i="2"/>
  <c r="V130" i="2"/>
  <c r="W152" i="2"/>
  <c r="W144" i="2"/>
  <c r="W136" i="2"/>
  <c r="W128" i="2"/>
  <c r="X150" i="2"/>
  <c r="X142" i="2"/>
  <c r="X134" i="2"/>
  <c r="X126" i="2"/>
  <c r="Y148" i="2"/>
  <c r="Y140" i="2"/>
  <c r="Y132" i="2"/>
  <c r="Y124" i="2"/>
  <c r="Z146" i="2"/>
  <c r="Z138" i="2"/>
  <c r="Z130" i="2"/>
  <c r="Q147" i="2"/>
  <c r="Q139" i="2"/>
  <c r="Q131" i="2"/>
  <c r="Q123" i="2"/>
  <c r="R145" i="2"/>
  <c r="R137" i="2"/>
  <c r="R129" i="2"/>
  <c r="S151" i="2"/>
  <c r="S143" i="2"/>
  <c r="S135" i="2"/>
  <c r="S127" i="2"/>
  <c r="T149" i="2"/>
  <c r="T141" i="2"/>
  <c r="T133" i="2"/>
  <c r="T125" i="2"/>
  <c r="U147" i="2"/>
  <c r="U139" i="2"/>
  <c r="U131" i="2"/>
  <c r="U123" i="2"/>
  <c r="V145" i="2"/>
  <c r="V137" i="2"/>
  <c r="V129" i="2"/>
  <c r="W151" i="2"/>
  <c r="W143" i="2"/>
  <c r="W135" i="2"/>
  <c r="W127" i="2"/>
  <c r="X149" i="2"/>
  <c r="X141" i="2"/>
  <c r="X133" i="2"/>
  <c r="X125" i="2"/>
  <c r="Y147" i="2"/>
  <c r="Y139" i="2"/>
  <c r="Y131" i="2"/>
  <c r="Y123" i="2"/>
  <c r="Z145" i="2"/>
  <c r="Z137" i="2"/>
  <c r="Z129" i="2"/>
  <c r="Q146" i="2"/>
  <c r="Q138" i="2"/>
  <c r="Q130" i="2"/>
  <c r="R152" i="2"/>
  <c r="R144" i="2"/>
  <c r="R136" i="2"/>
  <c r="R128" i="2"/>
  <c r="S150" i="2"/>
  <c r="S142" i="2"/>
  <c r="S134" i="2"/>
  <c r="S126" i="2"/>
  <c r="T148" i="2"/>
  <c r="T140" i="2"/>
  <c r="T132" i="2"/>
  <c r="T124" i="2"/>
  <c r="U146" i="2"/>
  <c r="U138" i="2"/>
  <c r="U130" i="2"/>
  <c r="V152" i="2"/>
  <c r="V144" i="2"/>
  <c r="V136" i="2"/>
  <c r="V128" i="2"/>
  <c r="W150" i="2"/>
  <c r="W142" i="2"/>
  <c r="W134" i="2"/>
  <c r="W126" i="2"/>
  <c r="X148" i="2"/>
  <c r="X140" i="2"/>
  <c r="X132" i="2"/>
  <c r="X124" i="2"/>
  <c r="Y146" i="2"/>
  <c r="Y138" i="2"/>
  <c r="Y130" i="2"/>
  <c r="Z152" i="2"/>
  <c r="Z144" i="2"/>
  <c r="Z136" i="2"/>
  <c r="Z128" i="2"/>
  <c r="Q145" i="2"/>
  <c r="Q137" i="2"/>
  <c r="Q129" i="2"/>
  <c r="R151" i="2"/>
  <c r="R143" i="2"/>
  <c r="R135" i="2"/>
  <c r="R127" i="2"/>
  <c r="S149" i="2"/>
  <c r="S141" i="2"/>
  <c r="S133" i="2"/>
  <c r="S125" i="2"/>
  <c r="T147" i="2"/>
  <c r="T139" i="2"/>
  <c r="T131" i="2"/>
  <c r="T123" i="2"/>
  <c r="U145" i="2"/>
  <c r="U137" i="2"/>
  <c r="U129" i="2"/>
  <c r="V151" i="2"/>
  <c r="V143" i="2"/>
  <c r="V135" i="2"/>
  <c r="V127" i="2"/>
  <c r="W149" i="2"/>
  <c r="W141" i="2"/>
  <c r="W133" i="2"/>
  <c r="W125" i="2"/>
  <c r="X147" i="2"/>
  <c r="X139" i="2"/>
  <c r="X131" i="2"/>
  <c r="X123" i="2"/>
  <c r="Y145" i="2"/>
  <c r="Y137" i="2"/>
  <c r="Y129" i="2"/>
  <c r="Z151" i="2"/>
  <c r="Z143" i="2"/>
  <c r="Z135" i="2"/>
  <c r="Z127" i="2"/>
  <c r="Q152" i="2"/>
  <c r="Q144" i="2"/>
  <c r="Q136" i="2"/>
  <c r="Q128" i="2"/>
  <c r="R150" i="2"/>
  <c r="R142" i="2"/>
  <c r="R134" i="2"/>
  <c r="R126" i="2"/>
  <c r="S148" i="2"/>
  <c r="S140" i="2"/>
  <c r="S132" i="2"/>
  <c r="S124" i="2"/>
  <c r="T146" i="2"/>
  <c r="T138" i="2"/>
  <c r="T130" i="2"/>
  <c r="U152" i="2"/>
  <c r="U144" i="2"/>
  <c r="U136" i="2"/>
  <c r="U128" i="2"/>
  <c r="V150" i="2"/>
  <c r="V142" i="2"/>
  <c r="V134" i="2"/>
  <c r="V126" i="2"/>
  <c r="W148" i="2"/>
  <c r="W140" i="2"/>
  <c r="W132" i="2"/>
  <c r="W124" i="2"/>
  <c r="X146" i="2"/>
  <c r="X138" i="2"/>
  <c r="X130" i="2"/>
  <c r="Y152" i="2"/>
  <c r="Y144" i="2"/>
  <c r="Y136" i="2"/>
  <c r="Y128" i="2"/>
  <c r="Z150" i="2"/>
  <c r="Z142" i="2"/>
  <c r="Z134" i="2"/>
  <c r="Z126" i="2"/>
  <c r="Q151" i="2"/>
  <c r="Q143" i="2"/>
  <c r="Q135" i="2"/>
  <c r="Q127" i="2"/>
  <c r="R149" i="2"/>
  <c r="R141" i="2"/>
  <c r="R133" i="2"/>
  <c r="R125" i="2"/>
  <c r="S147" i="2"/>
  <c r="S139" i="2"/>
  <c r="S131" i="2"/>
  <c r="S123" i="2"/>
  <c r="T145" i="2"/>
  <c r="T137" i="2"/>
  <c r="T129" i="2"/>
  <c r="U151" i="2"/>
  <c r="U143" i="2"/>
  <c r="U135" i="2"/>
  <c r="U127" i="2"/>
  <c r="V149" i="2"/>
  <c r="V141" i="2"/>
  <c r="V133" i="2"/>
  <c r="V125" i="2"/>
  <c r="W147" i="2"/>
  <c r="W139" i="2"/>
  <c r="W131" i="2"/>
  <c r="W123" i="2"/>
  <c r="X145" i="2"/>
  <c r="X137" i="2"/>
  <c r="X129" i="2"/>
  <c r="Y151" i="2"/>
  <c r="Y143" i="2"/>
  <c r="Y135" i="2"/>
  <c r="Y127" i="2"/>
  <c r="Z149" i="2"/>
  <c r="Z141" i="2"/>
  <c r="Z133" i="2"/>
  <c r="Z125" i="2"/>
  <c r="Q150" i="2"/>
  <c r="Q142" i="2"/>
  <c r="Q134" i="2"/>
  <c r="Q126" i="2"/>
  <c r="R148" i="2"/>
  <c r="R140" i="2"/>
  <c r="R132" i="2"/>
  <c r="R124" i="2"/>
  <c r="S146" i="2"/>
  <c r="S138" i="2"/>
  <c r="S130" i="2"/>
  <c r="T152" i="2"/>
  <c r="T144" i="2"/>
  <c r="T136" i="2"/>
  <c r="T128" i="2"/>
  <c r="U150" i="2"/>
  <c r="U142" i="2"/>
  <c r="U134" i="2"/>
  <c r="U126" i="2"/>
  <c r="V148" i="2"/>
  <c r="V140" i="2"/>
  <c r="V132" i="2"/>
  <c r="V124" i="2"/>
  <c r="Q149" i="2"/>
  <c r="Q141" i="2"/>
  <c r="Q133" i="2"/>
  <c r="Q125" i="2"/>
  <c r="R147" i="2"/>
  <c r="R139" i="2"/>
  <c r="R131" i="2"/>
  <c r="R123" i="2"/>
  <c r="S145" i="2"/>
  <c r="S137" i="2"/>
  <c r="S129" i="2"/>
  <c r="T151" i="2"/>
  <c r="T143" i="2"/>
  <c r="T135" i="2"/>
  <c r="T127" i="2"/>
  <c r="U149" i="2"/>
  <c r="U141" i="2"/>
  <c r="U133" i="2"/>
  <c r="U125" i="2"/>
  <c r="V147" i="2"/>
  <c r="V139" i="2"/>
  <c r="V131" i="2"/>
  <c r="V123" i="2"/>
  <c r="U108" i="2"/>
  <c r="Q45" i="2"/>
  <c r="R48" i="2"/>
  <c r="U44" i="2"/>
  <c r="R44" i="2"/>
  <c r="V48" i="2"/>
  <c r="S53" i="2"/>
  <c r="R63" i="2"/>
  <c r="W37" i="2"/>
  <c r="Z37" i="2"/>
  <c r="X37" i="2"/>
  <c r="U37" i="2"/>
  <c r="Y37" i="2"/>
  <c r="R37" i="2"/>
  <c r="S37" i="2"/>
  <c r="V37" i="2"/>
  <c r="T37" i="2"/>
  <c r="Q37" i="2"/>
  <c r="Z29" i="2"/>
  <c r="Y29" i="2"/>
  <c r="W29" i="2"/>
  <c r="V29" i="2"/>
  <c r="X29" i="2"/>
  <c r="R29" i="2"/>
  <c r="Q29" i="2"/>
  <c r="T29" i="2"/>
  <c r="S29" i="2"/>
  <c r="U29" i="2"/>
  <c r="Y21" i="2"/>
  <c r="X21" i="2"/>
  <c r="Z21" i="2"/>
  <c r="W21" i="2"/>
  <c r="U21" i="2"/>
  <c r="R21" i="2"/>
  <c r="V21" i="2"/>
  <c r="Q21" i="2"/>
  <c r="T21" i="2"/>
  <c r="X12" i="2"/>
  <c r="Z12" i="2"/>
  <c r="W12" i="2"/>
  <c r="Y12" i="2"/>
  <c r="V12" i="2"/>
  <c r="R12" i="2"/>
  <c r="U12" i="2"/>
  <c r="T12" i="2"/>
  <c r="S12" i="2"/>
  <c r="X3" i="2"/>
  <c r="Z3" i="2"/>
  <c r="W3" i="2"/>
  <c r="Y3" i="2"/>
  <c r="V3" i="2"/>
  <c r="T3" i="2"/>
  <c r="U3" i="2"/>
  <c r="S3" i="2"/>
  <c r="Q3" i="2"/>
  <c r="R3" i="2"/>
  <c r="X217" i="2"/>
  <c r="Z217" i="2"/>
  <c r="W217" i="2"/>
  <c r="U217" i="2"/>
  <c r="Y217" i="2"/>
  <c r="T217" i="2"/>
  <c r="Q217" i="2"/>
  <c r="R217" i="2"/>
  <c r="V217" i="2"/>
  <c r="Y209" i="2"/>
  <c r="X209" i="2"/>
  <c r="U209" i="2"/>
  <c r="Z209" i="2"/>
  <c r="V209" i="2"/>
  <c r="W209" i="2"/>
  <c r="T209" i="2"/>
  <c r="R209" i="2"/>
  <c r="X201" i="2"/>
  <c r="Z201" i="2"/>
  <c r="W201" i="2"/>
  <c r="U201" i="2"/>
  <c r="Y201" i="2"/>
  <c r="T201" i="2"/>
  <c r="V201" i="2"/>
  <c r="S201" i="2"/>
  <c r="Y193" i="2"/>
  <c r="Z193" i="2"/>
  <c r="U193" i="2"/>
  <c r="X193" i="2"/>
  <c r="W193" i="2"/>
  <c r="V193" i="2"/>
  <c r="T193" i="2"/>
  <c r="S193" i="2"/>
  <c r="R193" i="2"/>
  <c r="X185" i="2"/>
  <c r="Y185" i="2"/>
  <c r="W185" i="2"/>
  <c r="U185" i="2"/>
  <c r="Z185" i="2"/>
  <c r="T185" i="2"/>
  <c r="Q185" i="2"/>
  <c r="R185" i="2"/>
  <c r="V185" i="2"/>
  <c r="Z177" i="2"/>
  <c r="X177" i="2"/>
  <c r="U177" i="2"/>
  <c r="V177" i="2"/>
  <c r="W177" i="2"/>
  <c r="Y177" i="2"/>
  <c r="T177" i="2"/>
  <c r="R177" i="2"/>
  <c r="Z169" i="2"/>
  <c r="Y169" i="2"/>
  <c r="W169" i="2"/>
  <c r="U169" i="2"/>
  <c r="X169" i="2"/>
  <c r="T169" i="2"/>
  <c r="V169" i="2"/>
  <c r="S169" i="2"/>
  <c r="Y161" i="2"/>
  <c r="X161" i="2"/>
  <c r="U161" i="2"/>
  <c r="Z161" i="2"/>
  <c r="W161" i="2"/>
  <c r="V161" i="2"/>
  <c r="T161" i="2"/>
  <c r="S161" i="2"/>
  <c r="R161" i="2"/>
  <c r="X153" i="2"/>
  <c r="Z153" i="2"/>
  <c r="W153" i="2"/>
  <c r="Y153" i="2"/>
  <c r="T153" i="2"/>
  <c r="Q153" i="2"/>
  <c r="R153" i="2"/>
  <c r="V153" i="2"/>
  <c r="U153" i="2"/>
  <c r="S153" i="2"/>
  <c r="Y115" i="2"/>
  <c r="U115" i="2"/>
  <c r="X115" i="2"/>
  <c r="W115" i="2"/>
  <c r="V115" i="2"/>
  <c r="Z115" i="2"/>
  <c r="T115" i="2"/>
  <c r="R115" i="2"/>
  <c r="X107" i="2"/>
  <c r="Z107" i="2"/>
  <c r="W107" i="2"/>
  <c r="U107" i="2"/>
  <c r="Y107" i="2"/>
  <c r="T107" i="2"/>
  <c r="V107" i="2"/>
  <c r="S107" i="2"/>
  <c r="W99" i="2"/>
  <c r="Y99" i="2"/>
  <c r="Z99" i="2"/>
  <c r="U99" i="2"/>
  <c r="X99" i="2"/>
  <c r="V99" i="2"/>
  <c r="T99" i="2"/>
  <c r="S99" i="2"/>
  <c r="R99" i="2"/>
  <c r="X91" i="2"/>
  <c r="Y91" i="2"/>
  <c r="U91" i="2"/>
  <c r="Z91" i="2"/>
  <c r="W91" i="2"/>
  <c r="T91" i="2"/>
  <c r="Q91" i="2"/>
  <c r="R91" i="2"/>
  <c r="S91" i="2"/>
  <c r="V91" i="2"/>
  <c r="Z83" i="2"/>
  <c r="X83" i="2"/>
  <c r="W83" i="2"/>
  <c r="U83" i="2"/>
  <c r="Y83" i="2"/>
  <c r="V83" i="2"/>
  <c r="T83" i="2"/>
  <c r="R83" i="2"/>
  <c r="Z75" i="2"/>
  <c r="Y75" i="2"/>
  <c r="U75" i="2"/>
  <c r="X75" i="2"/>
  <c r="W75" i="2"/>
  <c r="T75" i="2"/>
  <c r="V75" i="2"/>
  <c r="S75" i="2"/>
  <c r="Y67" i="2"/>
  <c r="X67" i="2"/>
  <c r="U67" i="2"/>
  <c r="W67" i="2"/>
  <c r="Z67" i="2"/>
  <c r="V67" i="2"/>
  <c r="T67" i="2"/>
  <c r="S67" i="2"/>
  <c r="R67" i="2"/>
  <c r="X59" i="2"/>
  <c r="Z59" i="2"/>
  <c r="W59" i="2"/>
  <c r="U59" i="2"/>
  <c r="Y59" i="2"/>
  <c r="T59" i="2"/>
  <c r="Q59" i="2"/>
  <c r="R59" i="2"/>
  <c r="S59" i="2"/>
  <c r="V59" i="2"/>
  <c r="W51" i="2"/>
  <c r="Y51" i="2"/>
  <c r="U51" i="2"/>
  <c r="Z51" i="2"/>
  <c r="V51" i="2"/>
  <c r="X51" i="2"/>
  <c r="T51" i="2"/>
  <c r="R51" i="2"/>
  <c r="W4" i="2"/>
  <c r="Y4" i="2"/>
  <c r="U4" i="2"/>
  <c r="Z4" i="2"/>
  <c r="X4" i="2"/>
  <c r="R4" i="2"/>
  <c r="S4" i="2"/>
  <c r="V4" i="2"/>
  <c r="T4" i="2"/>
  <c r="Q4" i="2"/>
  <c r="Q209" i="2"/>
  <c r="Q99" i="2"/>
  <c r="S177" i="2"/>
  <c r="S115" i="2"/>
  <c r="S30" i="2"/>
  <c r="T2" i="2"/>
  <c r="X2" i="2"/>
  <c r="Y2" i="2"/>
  <c r="W2" i="2"/>
  <c r="U2" i="2"/>
  <c r="Z2" i="2"/>
  <c r="X36" i="2"/>
  <c r="Z36" i="2"/>
  <c r="Y36" i="2"/>
  <c r="W36" i="2"/>
  <c r="V36" i="2"/>
  <c r="T36" i="2"/>
  <c r="U36" i="2"/>
  <c r="S36" i="2"/>
  <c r="Q36" i="2"/>
  <c r="R36" i="2"/>
  <c r="W28" i="2"/>
  <c r="Z28" i="2"/>
  <c r="X28" i="2"/>
  <c r="Y28" i="2"/>
  <c r="T28" i="2"/>
  <c r="V28" i="2"/>
  <c r="S28" i="2"/>
  <c r="Q28" i="2"/>
  <c r="U28" i="2"/>
  <c r="Z20" i="2"/>
  <c r="Y20" i="2"/>
  <c r="W20" i="2"/>
  <c r="T20" i="2"/>
  <c r="U20" i="2"/>
  <c r="X20" i="2"/>
  <c r="V20" i="2"/>
  <c r="S20" i="2"/>
  <c r="Q20" i="2"/>
  <c r="Y11" i="2"/>
  <c r="X11" i="2"/>
  <c r="Z11" i="2"/>
  <c r="W11" i="2"/>
  <c r="T11" i="2"/>
  <c r="S11" i="2"/>
  <c r="Q11" i="2"/>
  <c r="U11" i="2"/>
  <c r="R11" i="2"/>
  <c r="V11" i="2"/>
  <c r="Z224" i="2"/>
  <c r="Y224" i="2"/>
  <c r="V224" i="2"/>
  <c r="X224" i="2"/>
  <c r="W224" i="2"/>
  <c r="U224" i="2"/>
  <c r="T224" i="2"/>
  <c r="S224" i="2"/>
  <c r="Y216" i="2"/>
  <c r="X216" i="2"/>
  <c r="V216" i="2"/>
  <c r="W216" i="2"/>
  <c r="Z216" i="2"/>
  <c r="U216" i="2"/>
  <c r="R216" i="2"/>
  <c r="S216" i="2"/>
  <c r="T216" i="2"/>
  <c r="Q216" i="2"/>
  <c r="X208" i="2"/>
  <c r="Z208" i="2"/>
  <c r="V208" i="2"/>
  <c r="W208" i="2"/>
  <c r="U208" i="2"/>
  <c r="S208" i="2"/>
  <c r="Y208" i="2"/>
  <c r="Y200" i="2"/>
  <c r="V200" i="2"/>
  <c r="Z200" i="2"/>
  <c r="W200" i="2"/>
  <c r="X200" i="2"/>
  <c r="U200" i="2"/>
  <c r="Q200" i="2"/>
  <c r="T200" i="2"/>
  <c r="X192" i="2"/>
  <c r="Z192" i="2"/>
  <c r="V192" i="2"/>
  <c r="Y192" i="2"/>
  <c r="W192" i="2"/>
  <c r="U192" i="2"/>
  <c r="T192" i="2"/>
  <c r="S192" i="2"/>
  <c r="Y184" i="2"/>
  <c r="Z184" i="2"/>
  <c r="V184" i="2"/>
  <c r="X184" i="2"/>
  <c r="U184" i="2"/>
  <c r="W184" i="2"/>
  <c r="R184" i="2"/>
  <c r="S184" i="2"/>
  <c r="T184" i="2"/>
  <c r="Q184" i="2"/>
  <c r="X176" i="2"/>
  <c r="Y176" i="2"/>
  <c r="V176" i="2"/>
  <c r="Z176" i="2"/>
  <c r="W176" i="2"/>
  <c r="U176" i="2"/>
  <c r="Q176" i="2"/>
  <c r="S176" i="2"/>
  <c r="Z168" i="2"/>
  <c r="X168" i="2"/>
  <c r="V168" i="2"/>
  <c r="W168" i="2"/>
  <c r="Y168" i="2"/>
  <c r="U168" i="2"/>
  <c r="Q168" i="2"/>
  <c r="T168" i="2"/>
  <c r="Z160" i="2"/>
  <c r="Y160" i="2"/>
  <c r="V160" i="2"/>
  <c r="X160" i="2"/>
  <c r="W160" i="2"/>
  <c r="U160" i="2"/>
  <c r="T160" i="2"/>
  <c r="S160" i="2"/>
  <c r="Y122" i="2"/>
  <c r="X122" i="2"/>
  <c r="V122" i="2"/>
  <c r="Z122" i="2"/>
  <c r="U122" i="2"/>
  <c r="W122" i="2"/>
  <c r="R122" i="2"/>
  <c r="S122" i="2"/>
  <c r="T122" i="2"/>
  <c r="Q122" i="2"/>
  <c r="X114" i="2"/>
  <c r="Z114" i="2"/>
  <c r="V114" i="2"/>
  <c r="W114" i="2"/>
  <c r="Y114" i="2"/>
  <c r="Q114" i="2"/>
  <c r="S114" i="2"/>
  <c r="U114" i="2"/>
  <c r="Y106" i="2"/>
  <c r="V106" i="2"/>
  <c r="X106" i="2"/>
  <c r="Z106" i="2"/>
  <c r="U106" i="2"/>
  <c r="W106" i="2"/>
  <c r="T106" i="2"/>
  <c r="Q106" i="2"/>
  <c r="X98" i="2"/>
  <c r="Z98" i="2"/>
  <c r="V98" i="2"/>
  <c r="W98" i="2"/>
  <c r="Y98" i="2"/>
  <c r="U98" i="2"/>
  <c r="S98" i="2"/>
  <c r="W90" i="2"/>
  <c r="Y90" i="2"/>
  <c r="V90" i="2"/>
  <c r="Z90" i="2"/>
  <c r="U90" i="2"/>
  <c r="X90" i="2"/>
  <c r="R90" i="2"/>
  <c r="T90" i="2"/>
  <c r="S90" i="2"/>
  <c r="Q90" i="2"/>
  <c r="X82" i="2"/>
  <c r="V82" i="2"/>
  <c r="Y82" i="2"/>
  <c r="W82" i="2"/>
  <c r="Z82" i="2"/>
  <c r="Q82" i="2"/>
  <c r="U82" i="2"/>
  <c r="S82" i="2"/>
  <c r="Z74" i="2"/>
  <c r="V74" i="2"/>
  <c r="X74" i="2"/>
  <c r="U74" i="2"/>
  <c r="W74" i="2"/>
  <c r="Y74" i="2"/>
  <c r="T74" i="2"/>
  <c r="Q74" i="2"/>
  <c r="Z66" i="2"/>
  <c r="Y66" i="2"/>
  <c r="V66" i="2"/>
  <c r="W66" i="2"/>
  <c r="X66" i="2"/>
  <c r="U66" i="2"/>
  <c r="R66" i="2"/>
  <c r="S66" i="2"/>
  <c r="Y58" i="2"/>
  <c r="X58" i="2"/>
  <c r="V58" i="2"/>
  <c r="U58" i="2"/>
  <c r="Z58" i="2"/>
  <c r="W58" i="2"/>
  <c r="R58" i="2"/>
  <c r="T58" i="2"/>
  <c r="S58" i="2"/>
  <c r="Q58" i="2"/>
  <c r="X50" i="2"/>
  <c r="Z50" i="2"/>
  <c r="W50" i="2"/>
  <c r="V50" i="2"/>
  <c r="Y50" i="2"/>
  <c r="Q50" i="2"/>
  <c r="S50" i="2"/>
  <c r="U50" i="2"/>
  <c r="Q224" i="2"/>
  <c r="Q208" i="2"/>
  <c r="Q98" i="2"/>
  <c r="Q12" i="2"/>
  <c r="R222" i="2"/>
  <c r="R201" i="2"/>
  <c r="R107" i="2"/>
  <c r="R86" i="2"/>
  <c r="S200" i="2"/>
  <c r="S106" i="2"/>
  <c r="S21" i="2"/>
  <c r="T66" i="2"/>
  <c r="X43" i="2"/>
  <c r="Z43" i="2"/>
  <c r="U43" i="2"/>
  <c r="W43" i="2"/>
  <c r="Y43" i="2"/>
  <c r="T43" i="2"/>
  <c r="S43" i="2"/>
  <c r="V43" i="2"/>
  <c r="W35" i="2"/>
  <c r="Y35" i="2"/>
  <c r="U35" i="2"/>
  <c r="Z35" i="2"/>
  <c r="V35" i="2"/>
  <c r="T35" i="2"/>
  <c r="S35" i="2"/>
  <c r="X35" i="2"/>
  <c r="R35" i="2"/>
  <c r="X27" i="2"/>
  <c r="U27" i="2"/>
  <c r="Z27" i="2"/>
  <c r="Y27" i="2"/>
  <c r="W27" i="2"/>
  <c r="T27" i="2"/>
  <c r="Q27" i="2"/>
  <c r="R27" i="2"/>
  <c r="S27" i="2"/>
  <c r="V27" i="2"/>
  <c r="W19" i="2"/>
  <c r="Z19" i="2"/>
  <c r="U19" i="2"/>
  <c r="X19" i="2"/>
  <c r="V19" i="2"/>
  <c r="Y19" i="2"/>
  <c r="T19" i="2"/>
  <c r="R19" i="2"/>
  <c r="Z10" i="2"/>
  <c r="Y10" i="2"/>
  <c r="U10" i="2"/>
  <c r="W10" i="2"/>
  <c r="T10" i="2"/>
  <c r="X10" i="2"/>
  <c r="V10" i="2"/>
  <c r="S10" i="2"/>
  <c r="Z223" i="2"/>
  <c r="W223" i="2"/>
  <c r="X223" i="2"/>
  <c r="R223" i="2"/>
  <c r="Y223" i="2"/>
  <c r="V223" i="2"/>
  <c r="S223" i="2"/>
  <c r="T223" i="2"/>
  <c r="Z215" i="2"/>
  <c r="Y215" i="2"/>
  <c r="W215" i="2"/>
  <c r="V215" i="2"/>
  <c r="X215" i="2"/>
  <c r="R215" i="2"/>
  <c r="S215" i="2"/>
  <c r="U215" i="2"/>
  <c r="T215" i="2"/>
  <c r="Y207" i="2"/>
  <c r="X207" i="2"/>
  <c r="W207" i="2"/>
  <c r="Z207" i="2"/>
  <c r="R207" i="2"/>
  <c r="Q207" i="2"/>
  <c r="T207" i="2"/>
  <c r="V207" i="2"/>
  <c r="X199" i="2"/>
  <c r="Z199" i="2"/>
  <c r="W199" i="2"/>
  <c r="R199" i="2"/>
  <c r="V199" i="2"/>
  <c r="Y199" i="2"/>
  <c r="U199" i="2"/>
  <c r="Y191" i="2"/>
  <c r="W191" i="2"/>
  <c r="X191" i="2"/>
  <c r="R191" i="2"/>
  <c r="Z191" i="2"/>
  <c r="V191" i="2"/>
  <c r="U191" i="2"/>
  <c r="S191" i="2"/>
  <c r="T191" i="2"/>
  <c r="X183" i="2"/>
  <c r="Z183" i="2"/>
  <c r="W183" i="2"/>
  <c r="V183" i="2"/>
  <c r="R183" i="2"/>
  <c r="S183" i="2"/>
  <c r="U183" i="2"/>
  <c r="T183" i="2"/>
  <c r="Y183" i="2"/>
  <c r="Y175" i="2"/>
  <c r="W175" i="2"/>
  <c r="Z175" i="2"/>
  <c r="R175" i="2"/>
  <c r="X175" i="2"/>
  <c r="Q175" i="2"/>
  <c r="V175" i="2"/>
  <c r="T175" i="2"/>
  <c r="U175" i="2"/>
  <c r="X167" i="2"/>
  <c r="W167" i="2"/>
  <c r="Y167" i="2"/>
  <c r="R167" i="2"/>
  <c r="V167" i="2"/>
  <c r="Z167" i="2"/>
  <c r="U167" i="2"/>
  <c r="Z159" i="2"/>
  <c r="W159" i="2"/>
  <c r="X159" i="2"/>
  <c r="R159" i="2"/>
  <c r="Y159" i="2"/>
  <c r="V159" i="2"/>
  <c r="U159" i="2"/>
  <c r="S159" i="2"/>
  <c r="T159" i="2"/>
  <c r="Z121" i="2"/>
  <c r="Y121" i="2"/>
  <c r="W121" i="2"/>
  <c r="V121" i="2"/>
  <c r="R121" i="2"/>
  <c r="X121" i="2"/>
  <c r="U121" i="2"/>
  <c r="S121" i="2"/>
  <c r="T121" i="2"/>
  <c r="Y113" i="2"/>
  <c r="X113" i="2"/>
  <c r="W113" i="2"/>
  <c r="R113" i="2"/>
  <c r="Z113" i="2"/>
  <c r="Q113" i="2"/>
  <c r="S113" i="2"/>
  <c r="U113" i="2"/>
  <c r="V113" i="2"/>
  <c r="W105" i="2"/>
  <c r="X105" i="2"/>
  <c r="Z105" i="2"/>
  <c r="U105" i="2"/>
  <c r="R105" i="2"/>
  <c r="V105" i="2"/>
  <c r="T105" i="2"/>
  <c r="Y105" i="2"/>
  <c r="W97" i="2"/>
  <c r="Y97" i="2"/>
  <c r="Z97" i="2"/>
  <c r="R97" i="2"/>
  <c r="X97" i="2"/>
  <c r="U97" i="2"/>
  <c r="V97" i="2"/>
  <c r="S97" i="2"/>
  <c r="W89" i="2"/>
  <c r="X89" i="2"/>
  <c r="Z89" i="2"/>
  <c r="V89" i="2"/>
  <c r="R89" i="2"/>
  <c r="Y89" i="2"/>
  <c r="U89" i="2"/>
  <c r="T89" i="2"/>
  <c r="S89" i="2"/>
  <c r="W81" i="2"/>
  <c r="Y81" i="2"/>
  <c r="Z81" i="2"/>
  <c r="X81" i="2"/>
  <c r="R81" i="2"/>
  <c r="Q81" i="2"/>
  <c r="U81" i="2"/>
  <c r="S81" i="2"/>
  <c r="V81" i="2"/>
  <c r="W73" i="2"/>
  <c r="X73" i="2"/>
  <c r="Y73" i="2"/>
  <c r="Z73" i="2"/>
  <c r="U73" i="2"/>
  <c r="R73" i="2"/>
  <c r="V73" i="2"/>
  <c r="T73" i="2"/>
  <c r="W65" i="2"/>
  <c r="Z65" i="2"/>
  <c r="X65" i="2"/>
  <c r="R65" i="2"/>
  <c r="Y65" i="2"/>
  <c r="V65" i="2"/>
  <c r="S65" i="2"/>
  <c r="W57" i="2"/>
  <c r="Z57" i="2"/>
  <c r="Y57" i="2"/>
  <c r="X57" i="2"/>
  <c r="V57" i="2"/>
  <c r="R57" i="2"/>
  <c r="U57" i="2"/>
  <c r="T57" i="2"/>
  <c r="S57" i="2"/>
  <c r="W49" i="2"/>
  <c r="Y49" i="2"/>
  <c r="X49" i="2"/>
  <c r="V49" i="2"/>
  <c r="R49" i="2"/>
  <c r="Q49" i="2"/>
  <c r="Z49" i="2"/>
  <c r="S49" i="2"/>
  <c r="U49" i="2"/>
  <c r="Q223" i="2"/>
  <c r="Q188" i="2"/>
  <c r="Q169" i="2"/>
  <c r="Q97" i="2"/>
  <c r="Q75" i="2"/>
  <c r="Q54" i="2"/>
  <c r="Q10" i="2"/>
  <c r="R221" i="2"/>
  <c r="R200" i="2"/>
  <c r="R178" i="2"/>
  <c r="R106" i="2"/>
  <c r="S199" i="2"/>
  <c r="S168" i="2"/>
  <c r="S105" i="2"/>
  <c r="S19" i="2"/>
  <c r="T65" i="2"/>
  <c r="U65" i="2"/>
  <c r="W42" i="2"/>
  <c r="Y42" i="2"/>
  <c r="V42" i="2"/>
  <c r="Z42" i="2"/>
  <c r="X42" i="2"/>
  <c r="U42" i="2"/>
  <c r="T42" i="2"/>
  <c r="Q42" i="2"/>
  <c r="X34" i="2"/>
  <c r="Z34" i="2"/>
  <c r="V34" i="2"/>
  <c r="Y34" i="2"/>
  <c r="W34" i="2"/>
  <c r="U34" i="2"/>
  <c r="R34" i="2"/>
  <c r="S34" i="2"/>
  <c r="W26" i="2"/>
  <c r="Y26" i="2"/>
  <c r="Z26" i="2"/>
  <c r="V26" i="2"/>
  <c r="U26" i="2"/>
  <c r="X26" i="2"/>
  <c r="R26" i="2"/>
  <c r="T26" i="2"/>
  <c r="S26" i="2"/>
  <c r="Q26" i="2"/>
  <c r="X18" i="2"/>
  <c r="Z18" i="2"/>
  <c r="Y18" i="2"/>
  <c r="V18" i="2"/>
  <c r="W18" i="2"/>
  <c r="Q18" i="2"/>
  <c r="U18" i="2"/>
  <c r="S18" i="2"/>
  <c r="W9" i="2"/>
  <c r="Z9" i="2"/>
  <c r="X9" i="2"/>
  <c r="V9" i="2"/>
  <c r="Y9" i="2"/>
  <c r="U9" i="2"/>
  <c r="T9" i="2"/>
  <c r="Q9" i="2"/>
  <c r="X222" i="2"/>
  <c r="W222" i="2"/>
  <c r="Y222" i="2"/>
  <c r="S222" i="2"/>
  <c r="Q222" i="2"/>
  <c r="Z222" i="2"/>
  <c r="V222" i="2"/>
  <c r="T222" i="2"/>
  <c r="X214" i="2"/>
  <c r="Z214" i="2"/>
  <c r="W214" i="2"/>
  <c r="Y214" i="2"/>
  <c r="S214" i="2"/>
  <c r="Q214" i="2"/>
  <c r="V214" i="2"/>
  <c r="U214" i="2"/>
  <c r="T214" i="2"/>
  <c r="R214" i="2"/>
  <c r="X206" i="2"/>
  <c r="Z206" i="2"/>
  <c r="Y206" i="2"/>
  <c r="W206" i="2"/>
  <c r="S206" i="2"/>
  <c r="Q206" i="2"/>
  <c r="R206" i="2"/>
  <c r="T206" i="2"/>
  <c r="V206" i="2"/>
  <c r="X198" i="2"/>
  <c r="Y198" i="2"/>
  <c r="V198" i="2"/>
  <c r="S198" i="2"/>
  <c r="Q198" i="2"/>
  <c r="Z198" i="2"/>
  <c r="U198" i="2"/>
  <c r="W198" i="2"/>
  <c r="R198" i="2"/>
  <c r="X190" i="2"/>
  <c r="Z190" i="2"/>
  <c r="W190" i="2"/>
  <c r="Y190" i="2"/>
  <c r="S190" i="2"/>
  <c r="Q190" i="2"/>
  <c r="V190" i="2"/>
  <c r="T190" i="2"/>
  <c r="X182" i="2"/>
  <c r="Y182" i="2"/>
  <c r="W182" i="2"/>
  <c r="Z182" i="2"/>
  <c r="S182" i="2"/>
  <c r="Q182" i="2"/>
  <c r="V182" i="2"/>
  <c r="U182" i="2"/>
  <c r="T182" i="2"/>
  <c r="R182" i="2"/>
  <c r="X174" i="2"/>
  <c r="Z174" i="2"/>
  <c r="W174" i="2"/>
  <c r="S174" i="2"/>
  <c r="Q174" i="2"/>
  <c r="Y174" i="2"/>
  <c r="R174" i="2"/>
  <c r="V174" i="2"/>
  <c r="T174" i="2"/>
  <c r="X166" i="2"/>
  <c r="Y166" i="2"/>
  <c r="Z166" i="2"/>
  <c r="V166" i="2"/>
  <c r="S166" i="2"/>
  <c r="Q166" i="2"/>
  <c r="W166" i="2"/>
  <c r="U166" i="2"/>
  <c r="R166" i="2"/>
  <c r="X158" i="2"/>
  <c r="Y158" i="2"/>
  <c r="W158" i="2"/>
  <c r="Z158" i="2"/>
  <c r="S158" i="2"/>
  <c r="Q158" i="2"/>
  <c r="V158" i="2"/>
  <c r="T158" i="2"/>
  <c r="X120" i="2"/>
  <c r="Z120" i="2"/>
  <c r="S120" i="2"/>
  <c r="Q120" i="2"/>
  <c r="T120" i="2"/>
  <c r="Y120" i="2"/>
  <c r="W120" i="2"/>
  <c r="V120" i="2"/>
  <c r="U120" i="2"/>
  <c r="R120" i="2"/>
  <c r="X112" i="2"/>
  <c r="Z112" i="2"/>
  <c r="Y112" i="2"/>
  <c r="W112" i="2"/>
  <c r="U112" i="2"/>
  <c r="S112" i="2"/>
  <c r="Q112" i="2"/>
  <c r="T112" i="2"/>
  <c r="R112" i="2"/>
  <c r="V112" i="2"/>
  <c r="X104" i="2"/>
  <c r="Y104" i="2"/>
  <c r="W104" i="2"/>
  <c r="Z104" i="2"/>
  <c r="V104" i="2"/>
  <c r="S104" i="2"/>
  <c r="Q104" i="2"/>
  <c r="T104" i="2"/>
  <c r="U104" i="2"/>
  <c r="R104" i="2"/>
  <c r="X96" i="2"/>
  <c r="Z96" i="2"/>
  <c r="S96" i="2"/>
  <c r="Q96" i="2"/>
  <c r="U96" i="2"/>
  <c r="T96" i="2"/>
  <c r="Y96" i="2"/>
  <c r="V96" i="2"/>
  <c r="W96" i="2"/>
  <c r="X88" i="2"/>
  <c r="Y88" i="2"/>
  <c r="W88" i="2"/>
  <c r="S88" i="2"/>
  <c r="Q88" i="2"/>
  <c r="T88" i="2"/>
  <c r="Z88" i="2"/>
  <c r="V88" i="2"/>
  <c r="U88" i="2"/>
  <c r="R88" i="2"/>
  <c r="X80" i="2"/>
  <c r="W80" i="2"/>
  <c r="Z80" i="2"/>
  <c r="U80" i="2"/>
  <c r="S80" i="2"/>
  <c r="Q80" i="2"/>
  <c r="T80" i="2"/>
  <c r="R80" i="2"/>
  <c r="V80" i="2"/>
  <c r="Y80" i="2"/>
  <c r="X72" i="2"/>
  <c r="Y72" i="2"/>
  <c r="Z72" i="2"/>
  <c r="V72" i="2"/>
  <c r="S72" i="2"/>
  <c r="Q72" i="2"/>
  <c r="T72" i="2"/>
  <c r="W72" i="2"/>
  <c r="R72" i="2"/>
  <c r="U72" i="2"/>
  <c r="X64" i="2"/>
  <c r="Y64" i="2"/>
  <c r="W64" i="2"/>
  <c r="S64" i="2"/>
  <c r="Q64" i="2"/>
  <c r="U64" i="2"/>
  <c r="T64" i="2"/>
  <c r="Z64" i="2"/>
  <c r="V64" i="2"/>
  <c r="Q220" i="2"/>
  <c r="Q187" i="2"/>
  <c r="Q167" i="2"/>
  <c r="Q115" i="2"/>
  <c r="Q94" i="2"/>
  <c r="Q73" i="2"/>
  <c r="Q51" i="2"/>
  <c r="R176" i="2"/>
  <c r="R82" i="2"/>
  <c r="S167" i="2"/>
  <c r="S9" i="2"/>
  <c r="T114" i="2"/>
  <c r="T50" i="2"/>
  <c r="U207" i="2"/>
  <c r="W41" i="2"/>
  <c r="X41" i="2"/>
  <c r="Z41" i="2"/>
  <c r="U41" i="2"/>
  <c r="R41" i="2"/>
  <c r="Y41" i="2"/>
  <c r="V41" i="2"/>
  <c r="T41" i="2"/>
  <c r="W33" i="2"/>
  <c r="Y33" i="2"/>
  <c r="X33" i="2"/>
  <c r="R33" i="2"/>
  <c r="Z33" i="2"/>
  <c r="U33" i="2"/>
  <c r="V33" i="2"/>
  <c r="S33" i="2"/>
  <c r="W25" i="2"/>
  <c r="X25" i="2"/>
  <c r="Z25" i="2"/>
  <c r="V25" i="2"/>
  <c r="R25" i="2"/>
  <c r="Y25" i="2"/>
  <c r="U25" i="2"/>
  <c r="T25" i="2"/>
  <c r="S25" i="2"/>
  <c r="W16" i="2"/>
  <c r="Y16" i="2"/>
  <c r="Z16" i="2"/>
  <c r="V16" i="2"/>
  <c r="X16" i="2"/>
  <c r="R16" i="2"/>
  <c r="Q16" i="2"/>
  <c r="U16" i="2"/>
  <c r="S16" i="2"/>
  <c r="W8" i="2"/>
  <c r="X8" i="2"/>
  <c r="Z8" i="2"/>
  <c r="Y8" i="2"/>
  <c r="U8" i="2"/>
  <c r="R8" i="2"/>
  <c r="V8" i="2"/>
  <c r="T8" i="2"/>
  <c r="Y221" i="2"/>
  <c r="X221" i="2"/>
  <c r="Z221" i="2"/>
  <c r="T221" i="2"/>
  <c r="V221" i="2"/>
  <c r="U221" i="2"/>
  <c r="Q221" i="2"/>
  <c r="W221" i="2"/>
  <c r="Y213" i="2"/>
  <c r="X213" i="2"/>
  <c r="T213" i="2"/>
  <c r="Z213" i="2"/>
  <c r="U213" i="2"/>
  <c r="V213" i="2"/>
  <c r="W213" i="2"/>
  <c r="S213" i="2"/>
  <c r="Y205" i="2"/>
  <c r="Z205" i="2"/>
  <c r="V205" i="2"/>
  <c r="T205" i="2"/>
  <c r="U205" i="2"/>
  <c r="W205" i="2"/>
  <c r="X205" i="2"/>
  <c r="R205" i="2"/>
  <c r="S205" i="2"/>
  <c r="Q205" i="2"/>
  <c r="Y197" i="2"/>
  <c r="Z197" i="2"/>
  <c r="X197" i="2"/>
  <c r="W197" i="2"/>
  <c r="T197" i="2"/>
  <c r="U197" i="2"/>
  <c r="V197" i="2"/>
  <c r="S197" i="2"/>
  <c r="Y189" i="2"/>
  <c r="X189" i="2"/>
  <c r="T189" i="2"/>
  <c r="Z189" i="2"/>
  <c r="W189" i="2"/>
  <c r="V189" i="2"/>
  <c r="U189" i="2"/>
  <c r="Q189" i="2"/>
  <c r="Y181" i="2"/>
  <c r="Z181" i="2"/>
  <c r="T181" i="2"/>
  <c r="U181" i="2"/>
  <c r="X181" i="2"/>
  <c r="W181" i="2"/>
  <c r="V181" i="2"/>
  <c r="S181" i="2"/>
  <c r="Y173" i="2"/>
  <c r="X173" i="2"/>
  <c r="V173" i="2"/>
  <c r="W173" i="2"/>
  <c r="T173" i="2"/>
  <c r="U173" i="2"/>
  <c r="Z173" i="2"/>
  <c r="R173" i="2"/>
  <c r="S173" i="2"/>
  <c r="Q173" i="2"/>
  <c r="Y165" i="2"/>
  <c r="Z165" i="2"/>
  <c r="X165" i="2"/>
  <c r="T165" i="2"/>
  <c r="U165" i="2"/>
  <c r="W165" i="2"/>
  <c r="Q165" i="2"/>
  <c r="S165" i="2"/>
  <c r="V165" i="2"/>
  <c r="Y157" i="2"/>
  <c r="X157" i="2"/>
  <c r="Z157" i="2"/>
  <c r="U157" i="2"/>
  <c r="W157" i="2"/>
  <c r="T157" i="2"/>
  <c r="V157" i="2"/>
  <c r="Q157" i="2"/>
  <c r="Y119" i="2"/>
  <c r="X119" i="2"/>
  <c r="U119" i="2"/>
  <c r="T119" i="2"/>
  <c r="W119" i="2"/>
  <c r="Z119" i="2"/>
  <c r="V119" i="2"/>
  <c r="S119" i="2"/>
  <c r="Y111" i="2"/>
  <c r="Z111" i="2"/>
  <c r="U111" i="2"/>
  <c r="V111" i="2"/>
  <c r="X111" i="2"/>
  <c r="T111" i="2"/>
  <c r="R111" i="2"/>
  <c r="S111" i="2"/>
  <c r="W111" i="2"/>
  <c r="Q111" i="2"/>
  <c r="Y103" i="2"/>
  <c r="Z103" i="2"/>
  <c r="X103" i="2"/>
  <c r="U103" i="2"/>
  <c r="T103" i="2"/>
  <c r="W103" i="2"/>
  <c r="Q103" i="2"/>
  <c r="V103" i="2"/>
  <c r="S103" i="2"/>
  <c r="Y95" i="2"/>
  <c r="X95" i="2"/>
  <c r="W95" i="2"/>
  <c r="U95" i="2"/>
  <c r="T95" i="2"/>
  <c r="V95" i="2"/>
  <c r="Z95" i="2"/>
  <c r="Q95" i="2"/>
  <c r="Y87" i="2"/>
  <c r="Z87" i="2"/>
  <c r="U87" i="2"/>
  <c r="X87" i="2"/>
  <c r="T87" i="2"/>
  <c r="W87" i="2"/>
  <c r="V87" i="2"/>
  <c r="S87" i="2"/>
  <c r="Y79" i="2"/>
  <c r="X79" i="2"/>
  <c r="U79" i="2"/>
  <c r="V79" i="2"/>
  <c r="Z79" i="2"/>
  <c r="T79" i="2"/>
  <c r="R79" i="2"/>
  <c r="S79" i="2"/>
  <c r="W79" i="2"/>
  <c r="Q79" i="2"/>
  <c r="Y71" i="2"/>
  <c r="W71" i="2"/>
  <c r="Z71" i="2"/>
  <c r="U71" i="2"/>
  <c r="V71" i="2"/>
  <c r="T71" i="2"/>
  <c r="X71" i="2"/>
  <c r="Q71" i="2"/>
  <c r="S71" i="2"/>
  <c r="Y63" i="2"/>
  <c r="X63" i="2"/>
  <c r="Z63" i="2"/>
  <c r="U63" i="2"/>
  <c r="T63" i="2"/>
  <c r="V63" i="2"/>
  <c r="W63" i="2"/>
  <c r="Q63" i="2"/>
  <c r="Y55" i="2"/>
  <c r="W55" i="2"/>
  <c r="Z55" i="2"/>
  <c r="X55" i="2"/>
  <c r="U55" i="2"/>
  <c r="T55" i="2"/>
  <c r="V55" i="2"/>
  <c r="R55" i="2"/>
  <c r="S55" i="2"/>
  <c r="Y47" i="2"/>
  <c r="Z47" i="2"/>
  <c r="W47" i="2"/>
  <c r="U47" i="2"/>
  <c r="V47" i="2"/>
  <c r="T47" i="2"/>
  <c r="X47" i="2"/>
  <c r="R47" i="2"/>
  <c r="S47" i="2"/>
  <c r="Q47" i="2"/>
  <c r="Q201" i="2"/>
  <c r="Q183" i="2"/>
  <c r="Q161" i="2"/>
  <c r="Q89" i="2"/>
  <c r="Q67" i="2"/>
  <c r="Q25" i="2"/>
  <c r="Q2" i="2"/>
  <c r="R213" i="2"/>
  <c r="R192" i="2"/>
  <c r="R119" i="2"/>
  <c r="R98" i="2"/>
  <c r="R75" i="2"/>
  <c r="R28" i="2"/>
  <c r="S189" i="2"/>
  <c r="S51" i="2"/>
  <c r="S8" i="2"/>
  <c r="T113" i="2"/>
  <c r="U206" i="2"/>
  <c r="X40" i="2"/>
  <c r="Y40" i="2"/>
  <c r="W40" i="2"/>
  <c r="V40" i="2"/>
  <c r="S40" i="2"/>
  <c r="Q40" i="2"/>
  <c r="T40" i="2"/>
  <c r="Z40" i="2"/>
  <c r="U40" i="2"/>
  <c r="R40" i="2"/>
  <c r="X32" i="2"/>
  <c r="W32" i="2"/>
  <c r="Z32" i="2"/>
  <c r="S32" i="2"/>
  <c r="Q32" i="2"/>
  <c r="U32" i="2"/>
  <c r="T32" i="2"/>
  <c r="Y32" i="2"/>
  <c r="V32" i="2"/>
  <c r="X24" i="2"/>
  <c r="Y24" i="2"/>
  <c r="S24" i="2"/>
  <c r="Q24" i="2"/>
  <c r="Z24" i="2"/>
  <c r="W24" i="2"/>
  <c r="T24" i="2"/>
  <c r="V24" i="2"/>
  <c r="U24" i="2"/>
  <c r="R24" i="2"/>
  <c r="X15" i="2"/>
  <c r="W15" i="2"/>
  <c r="Z15" i="2"/>
  <c r="U15" i="2"/>
  <c r="S15" i="2"/>
  <c r="Q15" i="2"/>
  <c r="Y15" i="2"/>
  <c r="T15" i="2"/>
  <c r="V15" i="2"/>
  <c r="R15" i="2"/>
  <c r="X7" i="2"/>
  <c r="Y7" i="2"/>
  <c r="Z7" i="2"/>
  <c r="V7" i="2"/>
  <c r="S7" i="2"/>
  <c r="Q7" i="2"/>
  <c r="T7" i="2"/>
  <c r="W7" i="2"/>
  <c r="R7" i="2"/>
  <c r="U7" i="2"/>
  <c r="Z220" i="2"/>
  <c r="Y220" i="2"/>
  <c r="V220" i="2"/>
  <c r="U220" i="2"/>
  <c r="X220" i="2"/>
  <c r="W220" i="2"/>
  <c r="R220" i="2"/>
  <c r="Z212" i="2"/>
  <c r="X212" i="2"/>
  <c r="Y212" i="2"/>
  <c r="W212" i="2"/>
  <c r="V212" i="2"/>
  <c r="U212" i="2"/>
  <c r="S212" i="2"/>
  <c r="T212" i="2"/>
  <c r="Z204" i="2"/>
  <c r="X204" i="2"/>
  <c r="V204" i="2"/>
  <c r="Y204" i="2"/>
  <c r="U204" i="2"/>
  <c r="W204" i="2"/>
  <c r="S204" i="2"/>
  <c r="T204" i="2"/>
  <c r="R204" i="2"/>
  <c r="Z196" i="2"/>
  <c r="Y196" i="2"/>
  <c r="W196" i="2"/>
  <c r="V196" i="2"/>
  <c r="U196" i="2"/>
  <c r="X196" i="2"/>
  <c r="Q196" i="2"/>
  <c r="R196" i="2"/>
  <c r="T196" i="2"/>
  <c r="Z188" i="2"/>
  <c r="Y188" i="2"/>
  <c r="X188" i="2"/>
  <c r="V188" i="2"/>
  <c r="W188" i="2"/>
  <c r="U188" i="2"/>
  <c r="R188" i="2"/>
  <c r="Z180" i="2"/>
  <c r="X180" i="2"/>
  <c r="W180" i="2"/>
  <c r="V180" i="2"/>
  <c r="Y180" i="2"/>
  <c r="U180" i="2"/>
  <c r="S180" i="2"/>
  <c r="T180" i="2"/>
  <c r="Z172" i="2"/>
  <c r="Y172" i="2"/>
  <c r="V172" i="2"/>
  <c r="W172" i="2"/>
  <c r="U172" i="2"/>
  <c r="X172" i="2"/>
  <c r="S172" i="2"/>
  <c r="T172" i="2"/>
  <c r="R172" i="2"/>
  <c r="Z164" i="2"/>
  <c r="X164" i="2"/>
  <c r="W164" i="2"/>
  <c r="V164" i="2"/>
  <c r="Y164" i="2"/>
  <c r="U164" i="2"/>
  <c r="Q164" i="2"/>
  <c r="R164" i="2"/>
  <c r="T164" i="2"/>
  <c r="Z156" i="2"/>
  <c r="Y156" i="2"/>
  <c r="V156" i="2"/>
  <c r="U156" i="2"/>
  <c r="X156" i="2"/>
  <c r="R156" i="2"/>
  <c r="W156" i="2"/>
  <c r="Z118" i="2"/>
  <c r="X118" i="2"/>
  <c r="W118" i="2"/>
  <c r="Y118" i="2"/>
  <c r="V118" i="2"/>
  <c r="U118" i="2"/>
  <c r="T118" i="2"/>
  <c r="S118" i="2"/>
  <c r="Z110" i="2"/>
  <c r="X110" i="2"/>
  <c r="V110" i="2"/>
  <c r="W110" i="2"/>
  <c r="Y110" i="2"/>
  <c r="U110" i="2"/>
  <c r="S110" i="2"/>
  <c r="T110" i="2"/>
  <c r="R110" i="2"/>
  <c r="Z102" i="2"/>
  <c r="Y102" i="2"/>
  <c r="V102" i="2"/>
  <c r="W102" i="2"/>
  <c r="X102" i="2"/>
  <c r="Q102" i="2"/>
  <c r="R102" i="2"/>
  <c r="U102" i="2"/>
  <c r="S102" i="2"/>
  <c r="T102" i="2"/>
  <c r="Z94" i="2"/>
  <c r="Y94" i="2"/>
  <c r="X94" i="2"/>
  <c r="W94" i="2"/>
  <c r="V94" i="2"/>
  <c r="U94" i="2"/>
  <c r="T94" i="2"/>
  <c r="R94" i="2"/>
  <c r="Z86" i="2"/>
  <c r="X86" i="2"/>
  <c r="W86" i="2"/>
  <c r="V86" i="2"/>
  <c r="Y86" i="2"/>
  <c r="S86" i="2"/>
  <c r="T86" i="2"/>
  <c r="Z78" i="2"/>
  <c r="Y78" i="2"/>
  <c r="V78" i="2"/>
  <c r="W78" i="2"/>
  <c r="X78" i="2"/>
  <c r="U78" i="2"/>
  <c r="S78" i="2"/>
  <c r="T78" i="2"/>
  <c r="R78" i="2"/>
  <c r="Z70" i="2"/>
  <c r="X70" i="2"/>
  <c r="W70" i="2"/>
  <c r="V70" i="2"/>
  <c r="Y70" i="2"/>
  <c r="Q70" i="2"/>
  <c r="R70" i="2"/>
  <c r="S70" i="2"/>
  <c r="U70" i="2"/>
  <c r="T70" i="2"/>
  <c r="Z62" i="2"/>
  <c r="W62" i="2"/>
  <c r="Y62" i="2"/>
  <c r="V62" i="2"/>
  <c r="X62" i="2"/>
  <c r="U62" i="2"/>
  <c r="T62" i="2"/>
  <c r="R62" i="2"/>
  <c r="Z54" i="2"/>
  <c r="X54" i="2"/>
  <c r="Y54" i="2"/>
  <c r="V54" i="2"/>
  <c r="W54" i="2"/>
  <c r="U54" i="2"/>
  <c r="S54" i="2"/>
  <c r="T54" i="2"/>
  <c r="Z46" i="2"/>
  <c r="W46" i="2"/>
  <c r="X46" i="2"/>
  <c r="V46" i="2"/>
  <c r="Y46" i="2"/>
  <c r="U46" i="2"/>
  <c r="S46" i="2"/>
  <c r="T46" i="2"/>
  <c r="R46" i="2"/>
  <c r="Q215" i="2"/>
  <c r="Q199" i="2"/>
  <c r="Q181" i="2"/>
  <c r="Q160" i="2"/>
  <c r="Q87" i="2"/>
  <c r="Q66" i="2"/>
  <c r="R2" i="2"/>
  <c r="R212" i="2"/>
  <c r="R190" i="2"/>
  <c r="R169" i="2"/>
  <c r="R118" i="2"/>
  <c r="R96" i="2"/>
  <c r="R74" i="2"/>
  <c r="R22" i="2"/>
  <c r="S217" i="2"/>
  <c r="S188" i="2"/>
  <c r="S157" i="2"/>
  <c r="S42" i="2"/>
  <c r="T220" i="2"/>
  <c r="T98" i="2"/>
  <c r="T34" i="2"/>
  <c r="U190" i="2"/>
  <c r="Y39" i="2"/>
  <c r="Z39" i="2"/>
  <c r="X39" i="2"/>
  <c r="U39" i="2"/>
  <c r="V39" i="2"/>
  <c r="T39" i="2"/>
  <c r="W39" i="2"/>
  <c r="Q39" i="2"/>
  <c r="S39" i="2"/>
  <c r="Y31" i="2"/>
  <c r="X31" i="2"/>
  <c r="W31" i="2"/>
  <c r="U31" i="2"/>
  <c r="T31" i="2"/>
  <c r="V31" i="2"/>
  <c r="Z31" i="2"/>
  <c r="Q31" i="2"/>
  <c r="Y23" i="2"/>
  <c r="W23" i="2"/>
  <c r="Z23" i="2"/>
  <c r="U23" i="2"/>
  <c r="T23" i="2"/>
  <c r="X23" i="2"/>
  <c r="V23" i="2"/>
  <c r="R23" i="2"/>
  <c r="S23" i="2"/>
  <c r="Y14" i="2"/>
  <c r="X14" i="2"/>
  <c r="Z14" i="2"/>
  <c r="U14" i="2"/>
  <c r="V14" i="2"/>
  <c r="T14" i="2"/>
  <c r="W14" i="2"/>
  <c r="R14" i="2"/>
  <c r="S14" i="2"/>
  <c r="Q14" i="2"/>
  <c r="Y6" i="2"/>
  <c r="W6" i="2"/>
  <c r="Z6" i="2"/>
  <c r="U6" i="2"/>
  <c r="X6" i="2"/>
  <c r="V6" i="2"/>
  <c r="T6" i="2"/>
  <c r="Q6" i="2"/>
  <c r="S6" i="2"/>
  <c r="X219" i="2"/>
  <c r="Z219" i="2"/>
  <c r="V219" i="2"/>
  <c r="W219" i="2"/>
  <c r="Y219" i="2"/>
  <c r="R219" i="2"/>
  <c r="U219" i="2"/>
  <c r="S219" i="2"/>
  <c r="Y211" i="2"/>
  <c r="Z211" i="2"/>
  <c r="W211" i="2"/>
  <c r="R211" i="2"/>
  <c r="V211" i="2"/>
  <c r="Q211" i="2"/>
  <c r="T211" i="2"/>
  <c r="X211" i="2"/>
  <c r="U211" i="2"/>
  <c r="X203" i="2"/>
  <c r="Y203" i="2"/>
  <c r="W203" i="2"/>
  <c r="V203" i="2"/>
  <c r="R203" i="2"/>
  <c r="T203" i="2"/>
  <c r="U203" i="2"/>
  <c r="Z203" i="2"/>
  <c r="S203" i="2"/>
  <c r="Z195" i="2"/>
  <c r="X195" i="2"/>
  <c r="Y195" i="2"/>
  <c r="W195" i="2"/>
  <c r="R195" i="2"/>
  <c r="S195" i="2"/>
  <c r="V195" i="2"/>
  <c r="T195" i="2"/>
  <c r="U195" i="2"/>
  <c r="Q195" i="2"/>
  <c r="Z187" i="2"/>
  <c r="Y187" i="2"/>
  <c r="W187" i="2"/>
  <c r="V187" i="2"/>
  <c r="R187" i="2"/>
  <c r="U187" i="2"/>
  <c r="S187" i="2"/>
  <c r="X187" i="2"/>
  <c r="Y179" i="2"/>
  <c r="X179" i="2"/>
  <c r="W179" i="2"/>
  <c r="R179" i="2"/>
  <c r="Q179" i="2"/>
  <c r="V179" i="2"/>
  <c r="Z179" i="2"/>
  <c r="T179" i="2"/>
  <c r="U179" i="2"/>
  <c r="X171" i="2"/>
  <c r="Z171" i="2"/>
  <c r="Y171" i="2"/>
  <c r="V171" i="2"/>
  <c r="R171" i="2"/>
  <c r="T171" i="2"/>
  <c r="U171" i="2"/>
  <c r="W171" i="2"/>
  <c r="S171" i="2"/>
  <c r="Y163" i="2"/>
  <c r="Z163" i="2"/>
  <c r="W163" i="2"/>
  <c r="R163" i="2"/>
  <c r="S163" i="2"/>
  <c r="T163" i="2"/>
  <c r="X163" i="2"/>
  <c r="V163" i="2"/>
  <c r="U163" i="2"/>
  <c r="Q163" i="2"/>
  <c r="X155" i="2"/>
  <c r="Z155" i="2"/>
  <c r="Y155" i="2"/>
  <c r="W155" i="2"/>
  <c r="V155" i="2"/>
  <c r="U155" i="2"/>
  <c r="R155" i="2"/>
  <c r="Q155" i="2"/>
  <c r="S155" i="2"/>
  <c r="Y117" i="2"/>
  <c r="Z117" i="2"/>
  <c r="X117" i="2"/>
  <c r="W117" i="2"/>
  <c r="U117" i="2"/>
  <c r="R117" i="2"/>
  <c r="V117" i="2"/>
  <c r="Q117" i="2"/>
  <c r="T117" i="2"/>
  <c r="X109" i="2"/>
  <c r="Y109" i="2"/>
  <c r="Z109" i="2"/>
  <c r="W109" i="2"/>
  <c r="V109" i="2"/>
  <c r="R109" i="2"/>
  <c r="T109" i="2"/>
  <c r="U109" i="2"/>
  <c r="S109" i="2"/>
  <c r="Z101" i="2"/>
  <c r="X101" i="2"/>
  <c r="W101" i="2"/>
  <c r="Y101" i="2"/>
  <c r="U101" i="2"/>
  <c r="R101" i="2"/>
  <c r="S101" i="2"/>
  <c r="V101" i="2"/>
  <c r="T101" i="2"/>
  <c r="Q101" i="2"/>
  <c r="Z93" i="2"/>
  <c r="Y93" i="2"/>
  <c r="W93" i="2"/>
  <c r="V93" i="2"/>
  <c r="X93" i="2"/>
  <c r="R93" i="2"/>
  <c r="Q93" i="2"/>
  <c r="T93" i="2"/>
  <c r="S93" i="2"/>
  <c r="U93" i="2"/>
  <c r="Y85" i="2"/>
  <c r="X85" i="2"/>
  <c r="Z85" i="2"/>
  <c r="W85" i="2"/>
  <c r="U85" i="2"/>
  <c r="R85" i="2"/>
  <c r="Q85" i="2"/>
  <c r="V85" i="2"/>
  <c r="T85" i="2"/>
  <c r="X77" i="2"/>
  <c r="Z77" i="2"/>
  <c r="W77" i="2"/>
  <c r="Y77" i="2"/>
  <c r="V77" i="2"/>
  <c r="R77" i="2"/>
  <c r="U77" i="2"/>
  <c r="T77" i="2"/>
  <c r="S77" i="2"/>
  <c r="Y69" i="2"/>
  <c r="U69" i="2"/>
  <c r="X69" i="2"/>
  <c r="W69" i="2"/>
  <c r="Z69" i="2"/>
  <c r="R69" i="2"/>
  <c r="S69" i="2"/>
  <c r="T69" i="2"/>
  <c r="V69" i="2"/>
  <c r="Q69" i="2"/>
  <c r="X61" i="2"/>
  <c r="Z61" i="2"/>
  <c r="W61" i="2"/>
  <c r="Y61" i="2"/>
  <c r="V61" i="2"/>
  <c r="R61" i="2"/>
  <c r="Q61" i="2"/>
  <c r="T61" i="2"/>
  <c r="U61" i="2"/>
  <c r="S61" i="2"/>
  <c r="Q213" i="2"/>
  <c r="Q197" i="2"/>
  <c r="Q180" i="2"/>
  <c r="Q159" i="2"/>
  <c r="Q107" i="2"/>
  <c r="Q86" i="2"/>
  <c r="Q65" i="2"/>
  <c r="Q43" i="2"/>
  <c r="S2" i="2"/>
  <c r="R189" i="2"/>
  <c r="R168" i="2"/>
  <c r="R95" i="2"/>
  <c r="R71" i="2"/>
  <c r="R20" i="2"/>
  <c r="S211" i="2"/>
  <c r="S185" i="2"/>
  <c r="S156" i="2"/>
  <c r="S83" i="2"/>
  <c r="S41" i="2"/>
  <c r="T219" i="2"/>
  <c r="T176" i="2"/>
  <c r="T97" i="2"/>
  <c r="T33" i="2"/>
  <c r="U174" i="2"/>
  <c r="Z38" i="2"/>
  <c r="Y38" i="2"/>
  <c r="W38" i="2"/>
  <c r="V38" i="2"/>
  <c r="X38" i="2"/>
  <c r="Q38" i="2"/>
  <c r="R38" i="2"/>
  <c r="U38" i="2"/>
  <c r="S38" i="2"/>
  <c r="T38" i="2"/>
  <c r="Z30" i="2"/>
  <c r="Y30" i="2"/>
  <c r="X30" i="2"/>
  <c r="V30" i="2"/>
  <c r="U30" i="2"/>
  <c r="W30" i="2"/>
  <c r="T30" i="2"/>
  <c r="R30" i="2"/>
  <c r="Z22" i="2"/>
  <c r="X22" i="2"/>
  <c r="W22" i="2"/>
  <c r="V22" i="2"/>
  <c r="Y22" i="2"/>
  <c r="U22" i="2"/>
  <c r="S22" i="2"/>
  <c r="T22" i="2"/>
  <c r="Z13" i="2"/>
  <c r="W13" i="2"/>
  <c r="Y13" i="2"/>
  <c r="V13" i="2"/>
  <c r="X13" i="2"/>
  <c r="U13" i="2"/>
  <c r="S13" i="2"/>
  <c r="T13" i="2"/>
  <c r="R13" i="2"/>
  <c r="Z5" i="2"/>
  <c r="X5" i="2"/>
  <c r="V5" i="2"/>
  <c r="W5" i="2"/>
  <c r="Y5" i="2"/>
  <c r="Q5" i="2"/>
  <c r="R5" i="2"/>
  <c r="S5" i="2"/>
  <c r="U5" i="2"/>
  <c r="T5" i="2"/>
  <c r="Y218" i="2"/>
  <c r="W218" i="2"/>
  <c r="X218" i="2"/>
  <c r="Z218" i="2"/>
  <c r="S218" i="2"/>
  <c r="Q218" i="2"/>
  <c r="U218" i="2"/>
  <c r="V218" i="2"/>
  <c r="T218" i="2"/>
  <c r="X210" i="2"/>
  <c r="W210" i="2"/>
  <c r="Z210" i="2"/>
  <c r="Y210" i="2"/>
  <c r="V210" i="2"/>
  <c r="S210" i="2"/>
  <c r="Q210" i="2"/>
  <c r="U210" i="2"/>
  <c r="W202" i="2"/>
  <c r="Y202" i="2"/>
  <c r="Z202" i="2"/>
  <c r="X202" i="2"/>
  <c r="S202" i="2"/>
  <c r="Q202" i="2"/>
  <c r="U202" i="2"/>
  <c r="V202" i="2"/>
  <c r="T202" i="2"/>
  <c r="W194" i="2"/>
  <c r="X194" i="2"/>
  <c r="Y194" i="2"/>
  <c r="V194" i="2"/>
  <c r="Z194" i="2"/>
  <c r="S194" i="2"/>
  <c r="Q194" i="2"/>
  <c r="R194" i="2"/>
  <c r="T194" i="2"/>
  <c r="U194" i="2"/>
  <c r="W186" i="2"/>
  <c r="Z186" i="2"/>
  <c r="X186" i="2"/>
  <c r="Y186" i="2"/>
  <c r="S186" i="2"/>
  <c r="Q186" i="2"/>
  <c r="U186" i="2"/>
  <c r="T186" i="2"/>
  <c r="V186" i="2"/>
  <c r="Z178" i="2"/>
  <c r="W178" i="2"/>
  <c r="Y178" i="2"/>
  <c r="V178" i="2"/>
  <c r="X178" i="2"/>
  <c r="S178" i="2"/>
  <c r="Q178" i="2"/>
  <c r="U178" i="2"/>
  <c r="Y170" i="2"/>
  <c r="W170" i="2"/>
  <c r="X170" i="2"/>
  <c r="Z170" i="2"/>
  <c r="S170" i="2"/>
  <c r="Q170" i="2"/>
  <c r="V170" i="2"/>
  <c r="U170" i="2"/>
  <c r="T170" i="2"/>
  <c r="X162" i="2"/>
  <c r="Z162" i="2"/>
  <c r="W162" i="2"/>
  <c r="V162" i="2"/>
  <c r="Y162" i="2"/>
  <c r="S162" i="2"/>
  <c r="Q162" i="2"/>
  <c r="R162" i="2"/>
  <c r="T162" i="2"/>
  <c r="U162" i="2"/>
  <c r="Y154" i="2"/>
  <c r="W154" i="2"/>
  <c r="X154" i="2"/>
  <c r="S154" i="2"/>
  <c r="Q154" i="2"/>
  <c r="V154" i="2"/>
  <c r="U154" i="2"/>
  <c r="T154" i="2"/>
  <c r="Z154" i="2"/>
  <c r="X116" i="2"/>
  <c r="W116" i="2"/>
  <c r="Z116" i="2"/>
  <c r="U116" i="2"/>
  <c r="V116" i="2"/>
  <c r="Y116" i="2"/>
  <c r="S116" i="2"/>
  <c r="Q116" i="2"/>
  <c r="T116" i="2"/>
  <c r="W108" i="2"/>
  <c r="Y108" i="2"/>
  <c r="Z108" i="2"/>
  <c r="T108" i="2"/>
  <c r="S108" i="2"/>
  <c r="Q108" i="2"/>
  <c r="X108" i="2"/>
  <c r="V108" i="2"/>
  <c r="X100" i="2"/>
  <c r="Y100" i="2"/>
  <c r="V100" i="2"/>
  <c r="T100" i="2"/>
  <c r="W100" i="2"/>
  <c r="U100" i="2"/>
  <c r="S100" i="2"/>
  <c r="Q100" i="2"/>
  <c r="R100" i="2"/>
  <c r="Z100" i="2"/>
  <c r="Z92" i="2"/>
  <c r="X92" i="2"/>
  <c r="T92" i="2"/>
  <c r="Y92" i="2"/>
  <c r="W92" i="2"/>
  <c r="S92" i="2"/>
  <c r="Q92" i="2"/>
  <c r="U92" i="2"/>
  <c r="V92" i="2"/>
  <c r="Z84" i="2"/>
  <c r="Y84" i="2"/>
  <c r="T84" i="2"/>
  <c r="W84" i="2"/>
  <c r="U84" i="2"/>
  <c r="V84" i="2"/>
  <c r="S84" i="2"/>
  <c r="Q84" i="2"/>
  <c r="X84" i="2"/>
  <c r="Y76" i="2"/>
  <c r="X76" i="2"/>
  <c r="W76" i="2"/>
  <c r="T76" i="2"/>
  <c r="S76" i="2"/>
  <c r="Q76" i="2"/>
  <c r="U76" i="2"/>
  <c r="V76" i="2"/>
  <c r="Z76" i="2"/>
  <c r="R76" i="2"/>
  <c r="X68" i="2"/>
  <c r="Z68" i="2"/>
  <c r="W68" i="2"/>
  <c r="V68" i="2"/>
  <c r="T68" i="2"/>
  <c r="Y68" i="2"/>
  <c r="U68" i="2"/>
  <c r="S68" i="2"/>
  <c r="Q68" i="2"/>
  <c r="R68" i="2"/>
  <c r="Q212" i="2"/>
  <c r="Q193" i="2"/>
  <c r="Q177" i="2"/>
  <c r="Q156" i="2"/>
  <c r="Q105" i="2"/>
  <c r="Q83" i="2"/>
  <c r="Q62" i="2"/>
  <c r="Q41" i="2"/>
  <c r="Q19" i="2"/>
  <c r="V2" i="2"/>
  <c r="R208" i="2"/>
  <c r="R186" i="2"/>
  <c r="R165" i="2"/>
  <c r="R114" i="2"/>
  <c r="R92" i="2"/>
  <c r="R64" i="2"/>
  <c r="R43" i="2"/>
  <c r="R18" i="2"/>
  <c r="S209" i="2"/>
  <c r="S179" i="2"/>
  <c r="S117" i="2"/>
  <c r="S74" i="2"/>
  <c r="S31" i="2"/>
  <c r="T210" i="2"/>
  <c r="T167" i="2"/>
  <c r="T82" i="2"/>
  <c r="T18" i="2"/>
  <c r="U158" i="2"/>
  <c r="W60" i="2"/>
  <c r="Y60" i="2"/>
  <c r="T60" i="2"/>
  <c r="V60" i="2"/>
  <c r="Z60" i="2"/>
  <c r="S60" i="2"/>
  <c r="Q60" i="2"/>
  <c r="X52" i="2"/>
  <c r="Z52" i="2"/>
  <c r="Y52" i="2"/>
  <c r="T52" i="2"/>
  <c r="U52" i="2"/>
  <c r="V52" i="2"/>
  <c r="W52" i="2"/>
  <c r="S52" i="2"/>
  <c r="Q52" i="2"/>
  <c r="S45" i="2"/>
  <c r="T53" i="2"/>
  <c r="U45" i="2"/>
  <c r="X56" i="2"/>
  <c r="Z56" i="2"/>
  <c r="W56" i="2"/>
  <c r="S56" i="2"/>
  <c r="Q56" i="2"/>
  <c r="T56" i="2"/>
  <c r="V56" i="2"/>
  <c r="Q53" i="2"/>
  <c r="U60" i="2"/>
  <c r="X60" i="2"/>
  <c r="Y56" i="2"/>
  <c r="U56" i="2"/>
  <c r="W53" i="2"/>
  <c r="Y53" i="2"/>
  <c r="Z53" i="2"/>
  <c r="U53" i="2"/>
  <c r="X53" i="2"/>
  <c r="R53" i="2"/>
  <c r="X45" i="2"/>
  <c r="Z45" i="2"/>
  <c r="Y45" i="2"/>
  <c r="W45" i="2"/>
  <c r="V45" i="2"/>
  <c r="R45" i="2"/>
  <c r="W44" i="2"/>
  <c r="Y44" i="2"/>
  <c r="Z44" i="2"/>
  <c r="Q44" i="2"/>
  <c r="S44" i="2"/>
  <c r="T48" i="2"/>
  <c r="X44" i="2"/>
  <c r="X48" i="2"/>
  <c r="Z48" i="2"/>
  <c r="Y48" i="2"/>
  <c r="Q48" i="2"/>
  <c r="S48" i="2"/>
  <c r="T44" i="2"/>
  <c r="U4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Hanne Bjørnås Krogstie</author>
  </authors>
  <commentList>
    <comment ref="A1" authorId="0" shapeId="0" xr:uid="{00000000-0006-0000-0000-000001000000}">
      <text>
        <r>
          <rPr>
            <b/>
            <sz val="10"/>
            <color indexed="81"/>
            <rFont val="Calibri"/>
          </rPr>
          <t xml:space="preserve">REQUIRED
Definition: </t>
        </r>
        <r>
          <rPr>
            <sz val="10"/>
            <color indexed="81"/>
            <rFont val="Calibri"/>
          </rPr>
          <t xml:space="preserve">An identifier for the set of information associated with an Event (something that occurs at a place and time). May be a global unique identifier or an identifier specific to the data set.
</t>
        </r>
        <r>
          <rPr>
            <b/>
            <sz val="10"/>
            <color indexed="81"/>
            <rFont val="Calibri"/>
          </rPr>
          <t xml:space="preserve">Examples: </t>
        </r>
        <r>
          <rPr>
            <sz val="10"/>
            <color indexed="81"/>
            <rFont val="Calibri"/>
          </rPr>
          <t xml:space="preserve"> "A1:1", "A1:2".</t>
        </r>
      </text>
    </comment>
    <comment ref="D1" authorId="0" shapeId="0" xr:uid="{00000000-0006-0000-0000-000002000000}">
      <text>
        <r>
          <rPr>
            <b/>
            <sz val="10"/>
            <color indexed="81"/>
            <rFont val="Calibri"/>
          </rPr>
          <t>RECOMMENDED
Definition:</t>
        </r>
        <r>
          <rPr>
            <sz val="10"/>
            <color indexed="81"/>
            <rFont val="Calibri"/>
          </rPr>
          <t xml:space="preserve"> An identifier for the broader Event that groups this and potentially other Events.
</t>
        </r>
        <r>
          <rPr>
            <b/>
            <sz val="10"/>
            <color indexed="81"/>
            <rFont val="Calibri"/>
          </rPr>
          <t xml:space="preserve">Examples: </t>
        </r>
        <r>
          <rPr>
            <sz val="10"/>
            <color indexed="81"/>
            <rFont val="Calibri"/>
          </rPr>
          <t xml:space="preserve"> "A1" as parentEventID to identify the main Whittaker Plot in nested samples, each with its own eventID (e.g., "A1:1", "A1:2").</t>
        </r>
      </text>
    </comment>
    <comment ref="F1" authorId="0" shapeId="0" xr:uid="{00000000-0006-0000-0000-000003000000}">
      <text>
        <r>
          <rPr>
            <b/>
            <sz val="10"/>
            <color indexed="81"/>
            <rFont val="Calibri"/>
          </rPr>
          <t>REQUIRED
Definition:</t>
        </r>
        <r>
          <rPr>
            <sz val="10"/>
            <color indexed="81"/>
            <rFont val="Calibri"/>
          </rPr>
          <t xml:space="preserve"> The date-time or interval when the event was recorded. Not suitable for a time in a geological context. Recommended best practice is to use an encoding scheme, such as ISO 8601:2004(E).
</t>
        </r>
        <r>
          <rPr>
            <b/>
            <sz val="10"/>
            <color indexed="81"/>
            <rFont val="Calibri"/>
          </rPr>
          <t>Examples:</t>
        </r>
        <r>
          <rPr>
            <sz val="10"/>
            <color indexed="81"/>
            <rFont val="Calibri"/>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K1" authorId="0" shapeId="0" xr:uid="{00000000-0006-0000-0000-000004000000}">
      <text>
        <r>
          <rPr>
            <b/>
            <sz val="10"/>
            <color indexed="81"/>
            <rFont val="Calibri"/>
          </rPr>
          <t>REQUIRED
Definition:</t>
        </r>
        <r>
          <rPr>
            <sz val="10"/>
            <color indexed="81"/>
            <rFont val="Calibri"/>
          </rPr>
          <t xml:space="preserve"> The name of, reference to, or description of the method or protocol used during an Event.
</t>
        </r>
        <r>
          <rPr>
            <b/>
            <sz val="10"/>
            <color indexed="81"/>
            <rFont val="Calibri"/>
          </rPr>
          <t xml:space="preserve">Examples: </t>
        </r>
        <r>
          <rPr>
            <sz val="10"/>
            <color indexed="81"/>
            <rFont val="Calibri"/>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L1" authorId="0" shapeId="0" xr:uid="{00000000-0006-0000-0000-000005000000}">
      <text>
        <r>
          <rPr>
            <b/>
            <sz val="10"/>
            <color indexed="81"/>
            <rFont val="Calibri"/>
          </rPr>
          <t xml:space="preserve">RECOMMENDED
Definition: </t>
        </r>
        <r>
          <rPr>
            <sz val="10"/>
            <color indexed="81"/>
            <rFont val="Calibri"/>
          </rPr>
          <t xml:space="preserve">The amount of effort expended during an Event.
</t>
        </r>
        <r>
          <rPr>
            <b/>
            <sz val="10"/>
            <color indexed="81"/>
            <rFont val="Calibri"/>
          </rPr>
          <t>Examples:</t>
        </r>
        <r>
          <rPr>
            <sz val="10"/>
            <color indexed="81"/>
            <rFont val="Calibri"/>
          </rPr>
          <t xml:space="preserve"> "40 trap-nights", "10 observer-hours; 10 km by foot; 30 km by car".</t>
        </r>
      </text>
    </comment>
    <comment ref="M1" authorId="0" shapeId="0" xr:uid="{00000000-0006-0000-0000-000006000000}">
      <text>
        <r>
          <rPr>
            <b/>
            <sz val="10"/>
            <color indexed="81"/>
            <rFont val="Calibri"/>
          </rPr>
          <t xml:space="preserve">REQUIRED
Definition: </t>
        </r>
        <r>
          <rPr>
            <sz val="10"/>
            <color indexed="81"/>
            <rFont val="Calibri"/>
          </rPr>
          <t xml:space="preserve">A numeric value for a measurement of the size (time duration, length, area, or volume) of a sample in a sampling event. A sampleSizeValue must have a corresponding sampleSizeUnit.
</t>
        </r>
        <r>
          <rPr>
            <b/>
            <sz val="10"/>
            <color indexed="81"/>
            <rFont val="Calibri"/>
          </rPr>
          <t>Examples:</t>
        </r>
        <r>
          <rPr>
            <sz val="10"/>
            <color indexed="81"/>
            <rFont val="Calibri"/>
          </rPr>
          <t xml:space="preserve"> "5" for sampleSizeValue with "metre" for sampleSizeUnit.</t>
        </r>
      </text>
    </comment>
    <comment ref="N1" authorId="0" shapeId="0" xr:uid="{00000000-0006-0000-0000-000007000000}">
      <text>
        <r>
          <rPr>
            <b/>
            <sz val="10"/>
            <color indexed="81"/>
            <rFont val="Calibri"/>
          </rPr>
          <t>REQUIRED
Definition:</t>
        </r>
        <r>
          <rPr>
            <sz val="10"/>
            <color indexed="81"/>
            <rFont val="Calibri"/>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rPr>
          <t xml:space="preserve">Examples: </t>
        </r>
        <r>
          <rPr>
            <sz val="10"/>
            <color indexed="81"/>
            <rFont val="Calibri"/>
          </rPr>
          <t xml:space="preserve">"5" for sampleSizeValue with "metre" for sampleSizeUnit. </t>
        </r>
      </text>
    </comment>
    <comment ref="O1" authorId="0" shapeId="0" xr:uid="{00000000-0006-0000-0000-000008000000}">
      <text>
        <r>
          <rPr>
            <b/>
            <sz val="10"/>
            <color indexed="81"/>
            <rFont val="Calibri"/>
          </rPr>
          <t>RECOMMENDED
Definition:</t>
        </r>
        <r>
          <rPr>
            <sz val="10"/>
            <color indexed="81"/>
            <rFont val="Calibri"/>
          </rPr>
          <t xml:space="preserve"> An identifier for the set of location information (data associated with dcterms:Location). May be a global unique identifier or an identifier specific to the data set.
</t>
        </r>
        <r>
          <rPr>
            <b/>
            <sz val="10"/>
            <color indexed="81"/>
            <rFont val="Calibri"/>
          </rPr>
          <t>Examples: "</t>
        </r>
        <r>
          <rPr>
            <sz val="10"/>
            <color indexed="81"/>
            <rFont val="Calibri"/>
          </rPr>
          <t>http://www.geonames.org/10793769", "tr01-dk".</t>
        </r>
      </text>
    </comment>
    <comment ref="S1" authorId="0" shapeId="0" xr:uid="{00000000-0006-0000-0000-00000B000000}">
      <text>
        <r>
          <rPr>
            <b/>
            <sz val="10"/>
            <color indexed="81"/>
            <rFont val="Calibri"/>
          </rPr>
          <t>RECOMMENDED
Definition:</t>
        </r>
        <r>
          <rPr>
            <sz val="10"/>
            <color indexed="81"/>
            <rFont val="Calibri"/>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rPr>
          <t xml:space="preserve">Examples: </t>
        </r>
        <r>
          <rPr>
            <sz val="10"/>
            <color indexed="81"/>
            <rFont val="Calibri"/>
          </rPr>
          <t xml:space="preserve"> "-41.0983423".</t>
        </r>
      </text>
    </comment>
    <comment ref="T1" authorId="0" shapeId="0" xr:uid="{00000000-0006-0000-0000-00000C000000}">
      <text>
        <r>
          <rPr>
            <b/>
            <sz val="10"/>
            <color indexed="81"/>
            <rFont val="Calibri"/>
          </rPr>
          <t>RECOMMENDED
Definition:</t>
        </r>
        <r>
          <rPr>
            <sz val="10"/>
            <color indexed="81"/>
            <rFont val="Calibri"/>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rPr>
          <t xml:space="preserve">Examples: </t>
        </r>
        <r>
          <rPr>
            <sz val="10"/>
            <color indexed="81"/>
            <rFont val="Calibri"/>
          </rPr>
          <t xml:space="preserve"> "-121.1761111".</t>
        </r>
      </text>
    </comment>
    <comment ref="U1" authorId="0" shapeId="0" xr:uid="{00000000-0006-0000-0000-00000D000000}">
      <text>
        <r>
          <rPr>
            <b/>
            <sz val="10"/>
            <color indexed="81"/>
            <rFont val="Calibri"/>
          </rPr>
          <t>RECOMMENDED
Definition:</t>
        </r>
        <r>
          <rPr>
            <sz val="10"/>
            <color indexed="81"/>
            <rFont val="Calibri"/>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rPr>
          <t xml:space="preserve">Examples: </t>
        </r>
        <r>
          <rPr>
            <sz val="10"/>
            <color indexed="81"/>
            <rFont val="Calibri"/>
          </rPr>
          <t xml:space="preserve">  "WGS84", "EPSG:4326", "NAD27", "Campo Inchauspe", "European 1950", "Clarke 1866".</t>
        </r>
      </text>
    </comment>
    <comment ref="V1" authorId="1" shapeId="0" xr:uid="{DC05B9EB-5825-4AD5-8CAD-9DC2BFCFDBB1}">
      <text>
        <r>
          <rPr>
            <b/>
            <sz val="9"/>
            <color indexed="81"/>
            <rFont val="Tahoma"/>
            <family val="2"/>
          </rPr>
          <t xml:space="preserve">RECOMMENDED
Definition: </t>
        </r>
        <r>
          <rPr>
            <sz val="9"/>
            <color indexed="81"/>
            <rFont val="Tahoma"/>
            <family val="2"/>
          </rPr>
          <t>The horizontal distance from the given decimalLatitude and decimalLongitude in meters, describing the smallest circle containing the whole of the Location</t>
        </r>
      </text>
    </comment>
    <comment ref="W1" authorId="0" shapeId="0" xr:uid="{00000000-0006-0000-0000-00000E000000}">
      <text>
        <r>
          <rPr>
            <b/>
            <sz val="10"/>
            <color indexed="81"/>
            <rFont val="Calibri"/>
          </rPr>
          <t>RECOMMENDED
Definition:</t>
        </r>
        <r>
          <rPr>
            <sz val="10"/>
            <color indexed="81"/>
            <rFont val="Calibri"/>
          </rPr>
          <t xml:space="preserve"> A unique (preferably globally-unique) identifier for the taxon represented in the row. Recommended best practice is to use ISO 3166-1-alpha-2 country codes: http://rs.gbif.org/vocabulary/iso/3166-1_alpha2.xml
</t>
        </r>
        <r>
          <rPr>
            <b/>
            <sz val="10"/>
            <color indexed="81"/>
            <rFont val="Calibri"/>
          </rPr>
          <t xml:space="preserve">Examples: </t>
        </r>
        <r>
          <rPr>
            <sz val="10"/>
            <color indexed="81"/>
            <rFont val="Calibri"/>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Hanne Bjørnås Krogstie</author>
    <author>Kyle Braak</author>
  </authors>
  <commentList>
    <comment ref="A1" authorId="0" shapeId="0" xr:uid="{4AB2A274-A5F9-4319-932F-88B9B867EC0C}">
      <text>
        <r>
          <rPr>
            <b/>
            <sz val="9"/>
            <color indexed="81"/>
            <rFont val="Tahoma"/>
            <family val="2"/>
          </rPr>
          <t>RECOMMENDED</t>
        </r>
        <r>
          <rPr>
            <sz val="9"/>
            <color indexed="81"/>
            <rFont val="Tahoma"/>
            <family val="2"/>
          </rPr>
          <t xml:space="preserve">
</t>
        </r>
        <r>
          <rPr>
            <b/>
            <sz val="9"/>
            <color indexed="81"/>
            <rFont val="Tahoma"/>
            <family val="2"/>
          </rPr>
          <t>Definition</t>
        </r>
        <r>
          <rPr>
            <sz val="9"/>
            <color indexed="81"/>
            <rFont val="Tahoma"/>
            <family val="2"/>
          </rPr>
          <t xml:space="preserve">: A cross-reference to the eventID of a broader event, e.g. a long-term monitoring project that the specific event is a part of, or a general vegetation survey of a larger area that is comprised of a number of sub-plots
</t>
        </r>
        <r>
          <rPr>
            <b/>
            <sz val="9"/>
            <color indexed="81"/>
            <rFont val="Tahoma"/>
            <family val="2"/>
          </rPr>
          <t xml:space="preserve">Examples: </t>
        </r>
      </text>
    </comment>
    <comment ref="C1" authorId="1" shapeId="0" xr:uid="{CEAD6A1E-3FC0-4604-8C5E-E1CB25F1CE96}">
      <text>
        <r>
          <rPr>
            <b/>
            <sz val="10"/>
            <color indexed="81"/>
            <rFont val="Calibri"/>
          </rPr>
          <t>REQUIRED
Definition:</t>
        </r>
        <r>
          <rPr>
            <sz val="10"/>
            <color indexed="81"/>
            <rFont val="Calibri"/>
          </rPr>
          <t xml:space="preserve"> The date-time or interval when the event was recorded. Not suitable for a time in a geological context. Recommended best practice is to use an encoding scheme, such as ISO 8601:2004(E).
</t>
        </r>
        <r>
          <rPr>
            <b/>
            <sz val="10"/>
            <color indexed="81"/>
            <rFont val="Calibri"/>
          </rPr>
          <t>Examples:</t>
        </r>
        <r>
          <rPr>
            <sz val="10"/>
            <color indexed="81"/>
            <rFont val="Calibri"/>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H1" authorId="1" shapeId="0" xr:uid="{1BF9B130-2781-41AF-85BA-B78F0A1449F8}">
      <text>
        <r>
          <rPr>
            <b/>
            <sz val="10"/>
            <color indexed="81"/>
            <rFont val="Calibri"/>
          </rPr>
          <t>REQUIRED
Definition:</t>
        </r>
        <r>
          <rPr>
            <sz val="10"/>
            <color indexed="81"/>
            <rFont val="Calibri"/>
          </rPr>
          <t xml:space="preserve"> The name of, reference to, or description of the method or protocol used during an Event.
</t>
        </r>
        <r>
          <rPr>
            <b/>
            <sz val="10"/>
            <color indexed="81"/>
            <rFont val="Calibri"/>
          </rPr>
          <t xml:space="preserve">Examples: </t>
        </r>
        <r>
          <rPr>
            <sz val="10"/>
            <color indexed="81"/>
            <rFont val="Calibri"/>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I1" authorId="1" shapeId="0" xr:uid="{72073C8C-68FC-4E50-987D-EA06AC6093B5}">
      <text>
        <r>
          <rPr>
            <b/>
            <sz val="10"/>
            <color indexed="81"/>
            <rFont val="Calibri"/>
          </rPr>
          <t xml:space="preserve">RECOMMENDED
Definition: </t>
        </r>
        <r>
          <rPr>
            <sz val="10"/>
            <color indexed="81"/>
            <rFont val="Calibri"/>
          </rPr>
          <t xml:space="preserve">The amount of effort expended during an Event.
</t>
        </r>
        <r>
          <rPr>
            <b/>
            <sz val="10"/>
            <color indexed="81"/>
            <rFont val="Calibri"/>
          </rPr>
          <t>Examples:</t>
        </r>
        <r>
          <rPr>
            <sz val="10"/>
            <color indexed="81"/>
            <rFont val="Calibri"/>
          </rPr>
          <t xml:space="preserve"> "40 trap-nights", "10 observer-hours; 10 km by foot; 30 km by car".</t>
        </r>
      </text>
    </comment>
    <comment ref="J1" authorId="1" shapeId="0" xr:uid="{1041811C-1A25-4F0F-91D2-86A61730AC0E}">
      <text>
        <r>
          <rPr>
            <b/>
            <sz val="10"/>
            <color indexed="81"/>
            <rFont val="Calibri"/>
          </rPr>
          <t xml:space="preserve">REQUIRED
Definition: </t>
        </r>
        <r>
          <rPr>
            <sz val="10"/>
            <color indexed="81"/>
            <rFont val="Calibri"/>
          </rPr>
          <t xml:space="preserve">A numeric value for a measurement of the size (time duration, length, area, or volume) of a sample in a sampling event. A sampleSizeValue must have a corresponding sampleSizeUnit.
</t>
        </r>
        <r>
          <rPr>
            <b/>
            <sz val="10"/>
            <color indexed="81"/>
            <rFont val="Calibri"/>
          </rPr>
          <t>Examples:</t>
        </r>
        <r>
          <rPr>
            <sz val="10"/>
            <color indexed="81"/>
            <rFont val="Calibri"/>
          </rPr>
          <t xml:space="preserve"> "5" for sampleSizeValue with "metre" for sampleSizeUnit.</t>
        </r>
      </text>
    </comment>
    <comment ref="K1" authorId="1" shapeId="0" xr:uid="{5ABEC245-494A-4606-8660-75BDBE76E2BE}">
      <text>
        <r>
          <rPr>
            <b/>
            <sz val="10"/>
            <color indexed="81"/>
            <rFont val="Calibri"/>
          </rPr>
          <t>REQUIRED
Definition:</t>
        </r>
        <r>
          <rPr>
            <sz val="10"/>
            <color indexed="81"/>
            <rFont val="Calibri"/>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rPr>
          <t xml:space="preserve">Examples: </t>
        </r>
        <r>
          <rPr>
            <sz val="10"/>
            <color indexed="81"/>
            <rFont val="Calibri"/>
          </rPr>
          <t xml:space="preserve">"5" for sampleSizeValue with "metre" for sampleSizeUnit.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Hanne Bjørnås Krogstie</author>
  </authors>
  <commentList>
    <comment ref="A1" authorId="0" shapeId="0" xr:uid="{D57588EA-5877-4D4C-AABF-F6A32B9C0B47}">
      <text>
        <r>
          <rPr>
            <b/>
            <sz val="9"/>
            <color indexed="81"/>
            <rFont val="Tahoma"/>
            <family val="2"/>
          </rPr>
          <t>RECOMMENDED</t>
        </r>
        <r>
          <rPr>
            <sz val="9"/>
            <color indexed="81"/>
            <rFont val="Tahoma"/>
            <family val="2"/>
          </rPr>
          <t xml:space="preserve">
</t>
        </r>
        <r>
          <rPr>
            <b/>
            <sz val="9"/>
            <color indexed="81"/>
            <rFont val="Tahoma"/>
            <family val="2"/>
          </rPr>
          <t>Definition</t>
        </r>
        <r>
          <rPr>
            <sz val="9"/>
            <color indexed="81"/>
            <rFont val="Tahoma"/>
            <family val="2"/>
          </rPr>
          <t xml:space="preserve">: An internal or external reference that links to a set of data describing the sample event location, if available.
</t>
        </r>
      </text>
    </comment>
    <comment ref="E1" authorId="0" shapeId="0" xr:uid="{A1CBA71B-0B2A-44DA-A6A5-6F3D74ED2D04}">
      <text>
        <r>
          <rPr>
            <sz val="9"/>
            <color indexed="81"/>
            <rFont val="Tahoma"/>
            <family val="2"/>
          </rPr>
          <t>RECOMMENDED
Definition:</t>
        </r>
      </text>
    </comment>
    <comment ref="F1" authorId="0" shapeId="0" xr:uid="{1278E53D-9C2F-417B-ADBB-6C97B42C22BC}">
      <text>
        <r>
          <rPr>
            <b/>
            <sz val="9"/>
            <color indexed="81"/>
            <rFont val="Tahoma"/>
            <family val="2"/>
          </rPr>
          <t>RECOMMENDED
Definition:</t>
        </r>
        <r>
          <rPr>
            <sz val="9"/>
            <color indexed="81"/>
            <rFont val="Tahoma"/>
            <family val="2"/>
          </rPr>
          <t xml:space="preserve">
</t>
        </r>
      </text>
    </comment>
    <comment ref="G1" authorId="0" shapeId="0" xr:uid="{3FF94660-5381-44A5-8798-D43FA2C5B9C6}">
      <text>
        <r>
          <rPr>
            <b/>
            <sz val="9"/>
            <color indexed="81"/>
            <rFont val="Tahoma"/>
            <family val="2"/>
          </rPr>
          <t>RECOMMENDED
Definition:</t>
        </r>
        <r>
          <rPr>
            <sz val="9"/>
            <color indexed="81"/>
            <rFont val="Tahoma"/>
            <family val="2"/>
          </rPr>
          <t xml:space="preserve">
</t>
        </r>
      </text>
    </comment>
    <comment ref="H1" authorId="0" shapeId="0" xr:uid="{FA52B9B1-04C7-46AD-8CCC-7B0389B5550F}">
      <text>
        <r>
          <rPr>
            <b/>
            <sz val="9"/>
            <color indexed="81"/>
            <rFont val="Tahoma"/>
            <family val="2"/>
          </rPr>
          <t xml:space="preserve">RECOMMENDED
Definition: </t>
        </r>
        <r>
          <rPr>
            <sz val="9"/>
            <color indexed="81"/>
            <rFont val="Tahoma"/>
            <family val="2"/>
          </rPr>
          <t>The horizontal distance from the given decimalLatitude and decimalLongitude in meters, describing the smallest circle containing the whole of the Location</t>
        </r>
      </text>
    </comment>
    <comment ref="I1" authorId="0" shapeId="0" xr:uid="{1CC49E38-1323-41F9-9FE7-E316D475D9F7}">
      <text>
        <r>
          <rPr>
            <b/>
            <sz val="9"/>
            <color indexed="81"/>
            <rFont val="Tahoma"/>
            <family val="2"/>
          </rPr>
          <t xml:space="preserve">RECOMMENDED
Definition: </t>
        </r>
        <r>
          <rPr>
            <sz val="9"/>
            <color indexed="81"/>
            <rFont val="Tahoma"/>
            <family val="2"/>
          </rPr>
          <t>A two-letter standard abbreviation for the country, territory or island that the sampling event took place in.</t>
        </r>
        <r>
          <rPr>
            <b/>
            <sz val="9"/>
            <color indexed="81"/>
            <rFont val="Tahoma"/>
            <family val="2"/>
          </rPr>
          <t xml:space="preserve">
</t>
        </r>
      </text>
    </comment>
  </commentList>
</comments>
</file>

<file path=xl/sharedStrings.xml><?xml version="1.0" encoding="utf-8"?>
<sst xmlns="http://schemas.openxmlformats.org/spreadsheetml/2006/main" count="838" uniqueCount="353">
  <si>
    <t>eventID</t>
  </si>
  <si>
    <t>eventDate</t>
  </si>
  <si>
    <t>decimalLatitude</t>
  </si>
  <si>
    <t>decimalLongitude</t>
  </si>
  <si>
    <t>geodeticDatum</t>
  </si>
  <si>
    <t>countryCode</t>
  </si>
  <si>
    <t>locality</t>
  </si>
  <si>
    <t>country</t>
  </si>
  <si>
    <t>stateProvince</t>
  </si>
  <si>
    <t>county</t>
  </si>
  <si>
    <t>Barsetvatnet</t>
  </si>
  <si>
    <t>WGS84</t>
  </si>
  <si>
    <t>NOR</t>
  </si>
  <si>
    <t>Norway</t>
  </si>
  <si>
    <t>Sør-Trøndelag</t>
  </si>
  <si>
    <t>Ørland</t>
  </si>
  <si>
    <t>Gjøljavatnet</t>
  </si>
  <si>
    <t>Indre Fosen</t>
  </si>
  <si>
    <t>Kilvatnet</t>
  </si>
  <si>
    <t>Trondheim</t>
  </si>
  <si>
    <t>Roksetvatnet</t>
  </si>
  <si>
    <t>Stor-Drakstsjøen</t>
  </si>
  <si>
    <t>Selbu</t>
  </si>
  <si>
    <t>Storvatnet</t>
  </si>
  <si>
    <t>Nord-Trøndelag</t>
  </si>
  <si>
    <t>internal_parentEventID</t>
  </si>
  <si>
    <t>parentEventID</t>
  </si>
  <si>
    <t>year</t>
  </si>
  <si>
    <t>month</t>
  </si>
  <si>
    <t>day</t>
  </si>
  <si>
    <t>samplingProtocol</t>
  </si>
  <si>
    <t>samplingEffort</t>
  </si>
  <si>
    <t>sampleSizeValue</t>
  </si>
  <si>
    <t>sampleSizeUnit</t>
  </si>
  <si>
    <t>locationID</t>
  </si>
  <si>
    <t>Barsetvatnet_05_05_2023</t>
  </si>
  <si>
    <t>Rot (1 min)</t>
  </si>
  <si>
    <t>"5 replicates of 1 minute kick samples"</t>
  </si>
  <si>
    <t>decimalMinute</t>
  </si>
  <si>
    <t>Gjøljavatnet_07_05_2023</t>
  </si>
  <si>
    <t>Storvatnet_07_05_2023</t>
  </si>
  <si>
    <t>Kilvatnet_11_05_2023</t>
  </si>
  <si>
    <t>Stor-Drakstsjøen_11_05_2023</t>
  </si>
  <si>
    <t>Roksetvatnet_22_05_2023</t>
  </si>
  <si>
    <t>Barsetvatnet_22_05_2023</t>
  </si>
  <si>
    <t>Gjøljavatnet_22_05_2023</t>
  </si>
  <si>
    <t>Storvatnet_22_05_2023</t>
  </si>
  <si>
    <t>Stor-Drakstsjøen_24_05_2023</t>
  </si>
  <si>
    <t>Kilvatnet_24_05_2023</t>
  </si>
  <si>
    <t>Stor-Drakstsjøen_07_06_2023</t>
  </si>
  <si>
    <t>Kilvatnet_07_06_2023</t>
  </si>
  <si>
    <t>Roksetvatnet_08_06_2023</t>
  </si>
  <si>
    <t>Barsetvatnet_08_06_2023</t>
  </si>
  <si>
    <t>Gjøljavatnet_08_06_2023</t>
  </si>
  <si>
    <t>Storvatnet_08_06_2023</t>
  </si>
  <si>
    <t>Stor-Drakstsjøen_20_06_2023</t>
  </si>
  <si>
    <t>Kilvatnet_20_06_2023</t>
  </si>
  <si>
    <t>Storvatnet_21_06_2023</t>
  </si>
  <si>
    <t>Barsetvatnet_21_06_2023</t>
  </si>
  <si>
    <t>Gjøljavatnet_21_06_2023</t>
  </si>
  <si>
    <t>Roksetvatnet_21_06_2023</t>
  </si>
  <si>
    <t>Roksetvatnet_10_07_2023</t>
  </si>
  <si>
    <t>Gjøljavatnet_07_05_2024</t>
  </si>
  <si>
    <t>Roksetvatnet_07_05_2024</t>
  </si>
  <si>
    <t>Barsetvatnet_08_05_2024</t>
  </si>
  <si>
    <t>Kilvatnet_08_05_2024</t>
  </si>
  <si>
    <t>Storvatnet_08_05_2024</t>
  </si>
  <si>
    <t>Stor-Drakstsjøen_09_05_2024</t>
  </si>
  <si>
    <t>internal_eventID</t>
  </si>
  <si>
    <t>Barsetvatnet_05_05_2023_round_1</t>
  </si>
  <si>
    <t>Barsetvatnet_05_05_2023_round_2</t>
  </si>
  <si>
    <t>Barsetvatnet_05_05_2023_round_3</t>
  </si>
  <si>
    <t>Barsetvatnet_05_05_2023_round_4</t>
  </si>
  <si>
    <t>Barsetvatnet_05_05_2023_round_5</t>
  </si>
  <si>
    <t>Gjøljavatnet_07_05_2023_round_1</t>
  </si>
  <si>
    <t>Gjøljavatnet_07_05_2023_round_2</t>
  </si>
  <si>
    <t>Gjøljavatnet_07_05_2023_round_3</t>
  </si>
  <si>
    <t>Gjøljavatnet_07_05_2023_round_4</t>
  </si>
  <si>
    <t>Gjøljavatnet_07_05_2023_round_5</t>
  </si>
  <si>
    <t>Storvatnet_07_05_2023_round_1</t>
  </si>
  <si>
    <t>Storvatnet_07_05_2023_round_2</t>
  </si>
  <si>
    <t>Storvatnet_07_05_2023_round_3</t>
  </si>
  <si>
    <t>Storvatnet_07_05_2023_round_4</t>
  </si>
  <si>
    <t>Storvatnet_07_05_2023_round_5</t>
  </si>
  <si>
    <t>Kilvatnet_11_05_2023_round_1</t>
  </si>
  <si>
    <t>Kilvatnet_11_05_2023_round_2</t>
  </si>
  <si>
    <t>Kilvatnet_11_05_2023_round_3</t>
  </si>
  <si>
    <t>Kilvatnet_11_05_2023_round_4</t>
  </si>
  <si>
    <t>Kilvatnet_11_05_2023_round_5</t>
  </si>
  <si>
    <t>Stor-Drakstsjøen_11_05_2023_round_1</t>
  </si>
  <si>
    <t>Stor-Drakstsjøen_11_05_2023_round_2</t>
  </si>
  <si>
    <t>Stor-Drakstsjøen_11_05_2023_round_3</t>
  </si>
  <si>
    <t>Stor-Drakstsjøen_11_05_2023_round_4</t>
  </si>
  <si>
    <t>Stor-Drakstsjøen_11_05_2023_round_5</t>
  </si>
  <si>
    <t>Roksetvatnet_22_05_2023_round_1</t>
  </si>
  <si>
    <t>Roksetvatnet_22_05_2023_round_2</t>
  </si>
  <si>
    <t>Roksetvatnet_22_05_2023_round_3</t>
  </si>
  <si>
    <t>Roksetvatnet_22_05_2023_round_4</t>
  </si>
  <si>
    <t>Roksetvatnet_22_05_2023_round_5</t>
  </si>
  <si>
    <t>Barsetvatnet_22_05_2023_round_1</t>
  </si>
  <si>
    <t>Barsetvatnet_22_05_2023_round_2</t>
  </si>
  <si>
    <t>Barsetvatnet_22_05_2023_round_3</t>
  </si>
  <si>
    <t>Barsetvatnet_22_05_2023_round_4</t>
  </si>
  <si>
    <t>Barsetvatnet_22_05_2023_round_5</t>
  </si>
  <si>
    <t>Gjøljavatnet_22_05_2023_round_1</t>
  </si>
  <si>
    <t>Gjøljavatnet_22_05_2023_round_2</t>
  </si>
  <si>
    <t>Gjøljavatnet_22_05_2023_round_3</t>
  </si>
  <si>
    <t>Gjøljavatnet_22_05_2023_round_4</t>
  </si>
  <si>
    <t>Gjøljavatnet_22_05_2023_round_5</t>
  </si>
  <si>
    <t>Storvatnet_22_05_2023_round_1</t>
  </si>
  <si>
    <t>Storvatnet_22_05_2023_round_2</t>
  </si>
  <si>
    <t>Storvatnet_22_05_2023_round_3</t>
  </si>
  <si>
    <t>Storvatnet_22_05_2023_round_4</t>
  </si>
  <si>
    <t>Storvatnet_22_05_2023_round_5</t>
  </si>
  <si>
    <t>Stor-Drakstsjøen_24_05_2023_round_1</t>
  </si>
  <si>
    <t>Stor-Drakstsjøen_24_05_2023_round_2</t>
  </si>
  <si>
    <t>Stor-Drakstsjøen_24_05_2023_round_3</t>
  </si>
  <si>
    <t>Stor-Drakstsjøen_24_05_2023_round_4</t>
  </si>
  <si>
    <t>Stor-Drakstsjøen_24_05_2023_round_5</t>
  </si>
  <si>
    <t>Kilvatnet_24_05_2023_round_1</t>
  </si>
  <si>
    <t>Kilvatnet_24_05_2023_round_2</t>
  </si>
  <si>
    <t>Kilvatnet_24_05_2023_round_3</t>
  </si>
  <si>
    <t>Kilvatnet_24_05_2023_round_4</t>
  </si>
  <si>
    <t>Kilvatnet_24_05_2023_round_5</t>
  </si>
  <si>
    <t>Stor-Drakstsjøen_07_06_2023_round_1</t>
  </si>
  <si>
    <t>Stor-Drakstsjøen_07_06_2023_round_2</t>
  </si>
  <si>
    <t>Stor-Drakstsjøen_07_06_2023_round_3</t>
  </si>
  <si>
    <t>Stor-Drakstsjøen_07_06_2023_round_4</t>
  </si>
  <si>
    <t>Stor-Drakstsjøen_07_06_2023_round_5</t>
  </si>
  <si>
    <t>Kilvatnet_07_06_2023_round_1</t>
  </si>
  <si>
    <t>Kilvatnet_07_06_2023_round_2</t>
  </si>
  <si>
    <t>Kilvatnet_07_06_2023_round_3</t>
  </si>
  <si>
    <t>Kilvatnet_07_06_2023_round_4</t>
  </si>
  <si>
    <t>Kilvatnet_07_06_2023_round_5</t>
  </si>
  <si>
    <t>Roksetvatnet_08_06_2023_round_1</t>
  </si>
  <si>
    <t>Roksetvatnet_08_06_2023_round_2</t>
  </si>
  <si>
    <t>Roksetvatnet_08_06_2023_round_3</t>
  </si>
  <si>
    <t>Roksetvatnet_08_06_2023_round_4</t>
  </si>
  <si>
    <t>Roksetvatnet_08_06_2023_round_5</t>
  </si>
  <si>
    <t>Barsetvatnet_08_06_2023_round_1</t>
  </si>
  <si>
    <t>Barsetvatnet_08_06_2023_round_2</t>
  </si>
  <si>
    <t>Barsetvatnet_08_06_2023_round_3</t>
  </si>
  <si>
    <t>Barsetvatnet_08_06_2023_round_4</t>
  </si>
  <si>
    <t>Barsetvatnet_08_06_2023_round_5</t>
  </si>
  <si>
    <t>Gjøljavatnet_08_06_2023_round_1</t>
  </si>
  <si>
    <t>Gjøljavatnet_08_06_2023_round_2</t>
  </si>
  <si>
    <t>Gjøljavatnet_08_06_2023_round_3</t>
  </si>
  <si>
    <t>Gjøljavatnet_08_06_2023_round_4</t>
  </si>
  <si>
    <t>Gjøljavatnet_08_06_2023_round_5</t>
  </si>
  <si>
    <t>Storvatnet_08_06_2023_round_1</t>
  </si>
  <si>
    <t>Storvatnet_08_06_2023_round_2</t>
  </si>
  <si>
    <t>Storvatnet_08_06_2023_round_3</t>
  </si>
  <si>
    <t>Storvatnet_08_06_2023_round_4</t>
  </si>
  <si>
    <t>Storvatnet_08_06_2023_round_5</t>
  </si>
  <si>
    <t>Stor-Drakstsjøen_20_06_2023_round_1</t>
  </si>
  <si>
    <t>Stor-Drakstsjøen_20_06_2023_round_2</t>
  </si>
  <si>
    <t>Stor-Drakstsjøen_20_06_2023_round_3</t>
  </si>
  <si>
    <t>Stor-Drakstsjøen_20_06_2023_round_4</t>
  </si>
  <si>
    <t>Stor-Drakstsjøen_20_06_2023_round_5</t>
  </si>
  <si>
    <t>Kilvatnet_20_06_2023_round_1</t>
  </si>
  <si>
    <t>Kilvatnet_20_06_2023_round_2</t>
  </si>
  <si>
    <t>Kilvatnet_20_06_2023_round_3</t>
  </si>
  <si>
    <t>Kilvatnet_20_06_2023_round_4</t>
  </si>
  <si>
    <t>Kilvatnet_20_06_2023_round_5</t>
  </si>
  <si>
    <t>Storvatnet_21_06_2023_round_1</t>
  </si>
  <si>
    <t>Storvatnet_21_06_2023_round_2</t>
  </si>
  <si>
    <t>Storvatnet_21_06_2023_round_3</t>
  </si>
  <si>
    <t>Storvatnet_21_06_2023_round_4</t>
  </si>
  <si>
    <t>Storvatnet_21_06_2023_round_5</t>
  </si>
  <si>
    <t>Barsetvatnet_21_06_2023_round_1</t>
  </si>
  <si>
    <t>Barsetvatnet_21_06_2023_round_2</t>
  </si>
  <si>
    <t>Barsetvatnet_21_06_2023_round_3</t>
  </si>
  <si>
    <t>Barsetvatnet_21_06_2023_round_4</t>
  </si>
  <si>
    <t>Barsetvatnet_21_06_2023_round_5</t>
  </si>
  <si>
    <t>Gjøljavatnet_21_06_2023_round_1</t>
  </si>
  <si>
    <t>Gjøljavatnet_21_06_2023_round_2</t>
  </si>
  <si>
    <t>Gjøljavatnet_21_06_2023_round_3</t>
  </si>
  <si>
    <t>Gjøljavatnet_21_06_2023_round_4</t>
  </si>
  <si>
    <t>Gjøljavatnet_21_06_2023_round_5</t>
  </si>
  <si>
    <t>Roksetvatnet_21_06_2023_round_1</t>
  </si>
  <si>
    <t>Roksetvatnet_21_06_2023_round_2</t>
  </si>
  <si>
    <t>Roksetvatnet_21_06_2023_round_3</t>
  </si>
  <si>
    <t>Roksetvatnet_21_06_2023_round_4</t>
  </si>
  <si>
    <t>Roksetvatnet_21_06_2023_round_5</t>
  </si>
  <si>
    <t>Roksetvatnet_10_07_2023_round_1</t>
  </si>
  <si>
    <t>Roksetvatnet_10_07_2023_round_2</t>
  </si>
  <si>
    <t>Roksetvatnet_10_07_2023_round_3</t>
  </si>
  <si>
    <t>Roksetvatnet_10_07_2023_round_4</t>
  </si>
  <si>
    <t>Roksetvatnet_10_07_2023_round_5</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</si>
  <si>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</si>
  <si>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</si>
  <si>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</si>
  <si>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</si>
  <si>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</si>
  <si>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</si>
  <si>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</si>
  <si>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</si>
  <si>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</si>
  <si>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scheme val="minor"/>
      </rPr>
      <t>#2.</t>
    </r>
    <r>
      <rPr>
        <sz val="12"/>
        <rFont val="Calibri"/>
        <scheme val="minor"/>
      </rPr>
      <t xml:space="preserve"> Additional columns can be added, but you should only use DwC term names from the Event Core: http://rs.gbif.org/core/dwc_event_2016_06_21.xml</t>
    </r>
  </si>
  <si>
    <r>
      <rPr>
        <b/>
        <sz val="12"/>
        <rFont val="Calibri"/>
        <scheme val="minor"/>
      </rPr>
      <t>#3.</t>
    </r>
    <r>
      <rPr>
        <sz val="12"/>
        <rFont val="Calibri"/>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</si>
  <si>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</si>
  <si>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</si>
  <si>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</si>
  <si>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scheme val="minor"/>
      </rPr>
      <t>#2.</t>
    </r>
    <r>
      <rPr>
        <sz val="12"/>
        <rFont val="Calibri"/>
        <scheme val="minor"/>
      </rPr>
      <t xml:space="preserve"> Additional columns can be added, but you should use DwC term names from the Occurrence Extension: http://rs.gbif.org/core/dwc_occurrence_2015-07-02.xml</t>
    </r>
  </si>
  <si>
    <t>Own notes:</t>
  </si>
  <si>
    <t>Koordinater for roteprøver, (feilmargin på ca 50 meter?)</t>
  </si>
  <si>
    <t>For taxon names: Legg til ikke-EPT taxa, nå inneholder arket kun EPT-arter.</t>
  </si>
  <si>
    <t>Vurdere om vi alle skal ha hvert vårt ark for innføring av associated_occurrences, for å unngå rot. Kan lastes opp til R som separate filer og merges der. Viktig at kolonnenavn forblir det samme.</t>
  </si>
  <si>
    <t>"3 replicates of 1 minute kick samples"</t>
  </si>
  <si>
    <t>Roksetvatnet_22_05_2024</t>
  </si>
  <si>
    <t>Barsetvatnet_22_05_2024</t>
  </si>
  <si>
    <t>Gjøljavatnet_22_05_2024</t>
  </si>
  <si>
    <t>Storvatnet_22_05_2024</t>
  </si>
  <si>
    <t>Kilvatnet_23_05_2024</t>
  </si>
  <si>
    <t>Stor-Drakstsjøen_23_05_2024</t>
  </si>
  <si>
    <t>Roksetvatnet_03_06_2024</t>
  </si>
  <si>
    <t>Barsetvatnet_03_06_2024</t>
  </si>
  <si>
    <t>Gjøljavatnet_03_06_2024</t>
  </si>
  <si>
    <t>Storvatnet_03_06_2024</t>
  </si>
  <si>
    <t>Kilvatnet_04_06_2024</t>
  </si>
  <si>
    <t>Stor-Drakstsjøen_04_06_2024</t>
  </si>
  <si>
    <t>Roksetvatnet_18_06_2024</t>
  </si>
  <si>
    <t>Barsetvatnet_18_06_2024</t>
  </si>
  <si>
    <t>Gjøljavatnet_18_06_2024</t>
  </si>
  <si>
    <t>Storvatnet_18_06_2024</t>
  </si>
  <si>
    <t>Kilvatnet_18_06_2024</t>
  </si>
  <si>
    <t>Stor-Drakstsjøen_19_06_2024</t>
  </si>
  <si>
    <t>Gjøljavatnet_07_05_2024_round_1</t>
  </si>
  <si>
    <t>Gjøljavatnet_07_05_2024_round_2</t>
  </si>
  <si>
    <t>Gjøljavatnet_07_05_2024_round_3</t>
  </si>
  <si>
    <t>Roksetvatnet_07_05_2024_round_1</t>
  </si>
  <si>
    <t>Barsetvatnet_08_05_2024_round_1</t>
  </si>
  <si>
    <t>Kilvatnet_08_05_2024_round_1</t>
  </si>
  <si>
    <t>Storvatnet_08_05_2024_round_1</t>
  </si>
  <si>
    <t>Stor-Drakstsjøen_09_05_2024_round_1</t>
  </si>
  <si>
    <t>Roksetvatnet_07_05_2024_round_2</t>
  </si>
  <si>
    <t>Roksetvatnet_07_05_2024_round_3</t>
  </si>
  <si>
    <t>Roksetvatnet_22_05_2024_round_1</t>
  </si>
  <si>
    <t>Barsetvatnet_22_05_2024_round_1</t>
  </si>
  <si>
    <t>Barsetvatnet_08_05_2024_round_2</t>
  </si>
  <si>
    <t>Barsetvatnet_08_05_2024_round_3</t>
  </si>
  <si>
    <t>Gjøljavatnet_22_05_2024_round_1</t>
  </si>
  <si>
    <t>Storvatnet_22_05_2024_round_1</t>
  </si>
  <si>
    <t>Kilvatnet_08_05_2024_round_2</t>
  </si>
  <si>
    <t>Kilvatnet_08_05_2024_round_3</t>
  </si>
  <si>
    <t>Kilvatnet_23_05_2024_round_1</t>
  </si>
  <si>
    <t>Storvatnet_08_05_2024_round_2</t>
  </si>
  <si>
    <t>Storvatnet_08_05_2024_round_3</t>
  </si>
  <si>
    <t>Stor-Drakstsjøen_09_05_2024_round_2</t>
  </si>
  <si>
    <t>Stor-Drakstsjøen_09_05_2024_round_3</t>
  </si>
  <si>
    <t>Roksetvatnet_22_05_2024_round_2</t>
  </si>
  <si>
    <t>Roksetvatnet_22_05_2024_round_3</t>
  </si>
  <si>
    <t>Barsetvatnet_22_05_2024_round_2</t>
  </si>
  <si>
    <t>Barsetvatnet_22_05_2024_round_3</t>
  </si>
  <si>
    <t>Gjøljavatnet_22_05_2024_round_2</t>
  </si>
  <si>
    <t>Gjøljavatnet_22_05_2024_round_3</t>
  </si>
  <si>
    <t>Stor-Drakstsjøen_23_05_2024_round_1</t>
  </si>
  <si>
    <t>Roksetvatnet_03_06_2024_round_1</t>
  </si>
  <si>
    <t>Barsetvatnet_03_06_2024_round_1</t>
  </si>
  <si>
    <t>Gjøljavatnet_03_06_2024_round_1</t>
  </si>
  <si>
    <t>Storvatnet_03_06_2024_round_1</t>
  </si>
  <si>
    <t>Kilvatnet_04_06_2024_round_1</t>
  </si>
  <si>
    <t>Stor-Drakstsjøen_04_06_2024_round_1</t>
  </si>
  <si>
    <t>Roksetvatnet_18_06_2024_round_1</t>
  </si>
  <si>
    <t>Barsetvatnet_18_06_2024_round_1</t>
  </si>
  <si>
    <t>Gjøljavatnet_18_06_2024_round_1</t>
  </si>
  <si>
    <t>Storvatnet_18_06_2024_round_1</t>
  </si>
  <si>
    <t>Kilvatnet_18_06_2024_round_1</t>
  </si>
  <si>
    <t>Stor-Drakstsjøen_19_06_2024_round_1</t>
  </si>
  <si>
    <t>Storvatnet_22_05_2024_round_2</t>
  </si>
  <si>
    <t>Storvatnet_22_05_2024_round_3</t>
  </si>
  <si>
    <t>Kilvatnet_23_05_2024_round_2</t>
  </si>
  <si>
    <t>Kilvatnet_23_05_2024_round_3</t>
  </si>
  <si>
    <t>Stor-Drakstsjøen_23_05_2024_round_2</t>
  </si>
  <si>
    <t>Stor-Drakstsjøen_23_05_2024_round_3</t>
  </si>
  <si>
    <t>Roksetvatnet_03_06_2024_round_2</t>
  </si>
  <si>
    <t>Roksetvatnet_03_06_2024_round_3</t>
  </si>
  <si>
    <t>Barsetvatnet_03_06_2024_round_2</t>
  </si>
  <si>
    <t>Barsetvatnet_03_06_2024_round_3</t>
  </si>
  <si>
    <t>Gjøljavatnet_03_06_2024_round_2</t>
  </si>
  <si>
    <t>Gjøljavatnet_03_06_2024_round_3</t>
  </si>
  <si>
    <t>Storvatnet_03_06_2024_round_2</t>
  </si>
  <si>
    <t>Storvatnet_03_06_2024_round_3</t>
  </si>
  <si>
    <t>Kilvatnet_04_06_2024_round_2</t>
  </si>
  <si>
    <t>Kilvatnet_04_06_2024_round_3</t>
  </si>
  <si>
    <t>Stor-Drakstsjøen_04_06_2024_round_2</t>
  </si>
  <si>
    <t>Stor-Drakstsjøen_04_06_2024_round_3</t>
  </si>
  <si>
    <t>Roksetvatnet_18_06_2024_round_2</t>
  </si>
  <si>
    <t>Roksetvatnet_18_06_2024_round_3</t>
  </si>
  <si>
    <t>Barsetvatnet_18_06_2024_round_2</t>
  </si>
  <si>
    <t>Barsetvatnet_18_06_2024_round_3</t>
  </si>
  <si>
    <t>Gjøljavatnet_18_06_2024_round_2</t>
  </si>
  <si>
    <t>Gjøljavatnet_18_06_2024_round_3</t>
  </si>
  <si>
    <t>Storvatnet_18_06_2024_round_2</t>
  </si>
  <si>
    <t>Storvatnet_18_06_2024_round_3</t>
  </si>
  <si>
    <t>Kilvatnet_18_06_2024_round_2</t>
  </si>
  <si>
    <t>Kilvatnet_18_06_2024_round_3</t>
  </si>
  <si>
    <t>Stor-Drakstsjøen_19_06_2024_round_2</t>
  </si>
  <si>
    <t>Stor-Drakstsjøen_19_06_2024_round_3</t>
  </si>
  <si>
    <t>coordinateUncertaintyInMeters</t>
  </si>
  <si>
    <t>stationNumber</t>
  </si>
  <si>
    <t>internal_locationID</t>
  </si>
  <si>
    <t>Barsetvatnet_st1</t>
  </si>
  <si>
    <t>Gjoljavatnet_st1</t>
  </si>
  <si>
    <t>Kilvatnet_st1</t>
  </si>
  <si>
    <t>Roksetvatnet_st1</t>
  </si>
  <si>
    <t>Stor-Drakstsjoen_st1</t>
  </si>
  <si>
    <t>Storvatnet_st1</t>
  </si>
  <si>
    <t>periodNumber</t>
  </si>
  <si>
    <t>sampleNumber</t>
  </si>
  <si>
    <t>Gul = required, Orange = strongly recommended</t>
  </si>
  <si>
    <t>obs nei! Ikke endre rekkefølge</t>
  </si>
  <si>
    <t>The required and recommended columns are based on GBIF data quality requirement information pages for event and occurrence data. If the two differ, the most strict requirement is used.</t>
  </si>
  <si>
    <t>https://www.gbif.org/data-quality-requirements-sampling-events</t>
  </si>
  <si>
    <t>https://www.gbif.org/data-quality-requirements-occurrences</t>
  </si>
  <si>
    <t>Gjøljavatnet_25_09_2023</t>
  </si>
  <si>
    <t>Kilvatnet_21_09_2023</t>
  </si>
  <si>
    <t>Stor-Drakstsjøen_21_09_2023</t>
  </si>
  <si>
    <t>Storvatnet_25_09_2023</t>
  </si>
  <si>
    <t>Barsetvatnet_25_09_2023</t>
  </si>
  <si>
    <t>Roksetvatnet_25_09_2023</t>
  </si>
  <si>
    <t>Kilvatnet_21_09_2023_round_1</t>
  </si>
  <si>
    <t>Kilvatnet_21_09_2023_round_2</t>
  </si>
  <si>
    <t>Kilvatnet_21_09_2023_round_3</t>
  </si>
  <si>
    <t>Kilvatnet_21_09_2023_round_4</t>
  </si>
  <si>
    <t>Kilvatnet_21_09_2023_round_5</t>
  </si>
  <si>
    <t>Stor-Drakstsjøen_21_09_2023_round_1</t>
  </si>
  <si>
    <t>Stor-Drakstsjøen_21_09_2023_round_2</t>
  </si>
  <si>
    <t>Stor-Drakstsjøen_21_09_2023_round_3</t>
  </si>
  <si>
    <t>Stor-Drakstsjøen_21_09_2023_round_4</t>
  </si>
  <si>
    <t>Stor-Drakstsjøen_21_09_2023_round_5</t>
  </si>
  <si>
    <t>Gjøljavatnet_25_09_2023_round_1</t>
  </si>
  <si>
    <t>Gjøljavatnet_25_09_2023_round_2</t>
  </si>
  <si>
    <t>Gjøljavatnet_25_09_2023_round_3</t>
  </si>
  <si>
    <t>Gjøljavatnet_25_09_2023_round_4</t>
  </si>
  <si>
    <t>Gjøljavatnet_25_09_2023_round_5</t>
  </si>
  <si>
    <t>Barsetvatnet_25_09_2023_round_1</t>
  </si>
  <si>
    <t>Barsetvatnet_25_09_2023_round_2</t>
  </si>
  <si>
    <t>Barsetvatnet_25_09_2023_round_3</t>
  </si>
  <si>
    <t>Barsetvatnet_25_09_2023_round_4</t>
  </si>
  <si>
    <t>Barsetvatnet_25_09_2023_round_5</t>
  </si>
  <si>
    <t>Roksetvatnet_25_09_2023_round_1</t>
  </si>
  <si>
    <t>Roksetvatnet_25_09_2023_round_2</t>
  </si>
  <si>
    <t>Roksetvatnet_25_09_2023_round_3</t>
  </si>
  <si>
    <t>Roksetvatnet_25_09_2023_round_4</t>
  </si>
  <si>
    <t>Roksetvatnet_25_09_2023_round_5</t>
  </si>
  <si>
    <t>Storvatnet_25_09_2023_round_1</t>
  </si>
  <si>
    <t>Storvatnet_25_09_2023_round_2</t>
  </si>
  <si>
    <t>Storvatnet_25_09_2023_round_3</t>
  </si>
  <si>
    <t>Storvatnet_25_09_2023_round_4</t>
  </si>
  <si>
    <t>Storvatnet_25_09_2023_round_5</t>
  </si>
  <si>
    <t>Roksetvatnet_07_05_2023_round_1</t>
  </si>
  <si>
    <t>Roksetvatnet_07_05_2023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</si>
</sst>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scheme val="minor"/>
    </font>
    <font>
      <b/>
      <sz val="10"/>
      <color indexed="81"/>
      <name val="Calibri"/>
    </font>
    <font>
      <sz val="10"/>
      <color indexed="81"/>
      <name val="Calibri"/>
    </font>
    <font>
      <u/>
      <sz val="12"/>
      <color theme="10"/>
      <name val="Calibri"/>
      <family val="2"/>
      <scheme val="minor"/>
    </font>
    <font>
      <u/>
      <sz val="12"/>
      <color theme="11"/>
      <name val="Calibri"/>
      <family val="2"/>
      <scheme val="minor"/>
    </font>
    <font>
      <b/>
      <sz val="10"/>
      <color indexed="23"/>
      <name val="Calibri"/>
      <scheme val="minor"/>
    </font>
    <font>
      <i/>
      <sz val="12"/>
      <name val="Calibri"/>
      <scheme val="minor"/>
    </font>
    <font>
      <i/>
      <sz val="11"/>
      <name val="Calibri"/>
      <scheme val="minor"/>
    </font>
    <font>
      <sz val="12"/>
      <name val="Calibri"/>
      <scheme val="minor"/>
    </font>
    <font>
      <b/>
      <sz val="16"/>
      <name val="Calibri"/>
      <scheme val="minor"/>
    </font>
    <font>
      <sz val="12"/>
      <color rgb="FF000000"/>
      <name val="Calibri"/>
      <family val="2"/>
      <scheme val="minor"/>
    </font>
    <font>
      <b/>
      <sz val="12"/>
      <color rgb="FF000000"/>
      <name val="Calibri"/>
      <family val="2"/>
      <scheme val="minor"/>
    </font>
    <font>
      <b/>
      <sz val="12"/>
      <name val="Calibri"/>
      <family val="2"/>
      <scheme val="minor"/>
    </font>
    <font>
      <sz val="8"/>
      <name val="Calibri"/>
      <family val="2"/>
      <scheme val="minor"/>
    </font>
    <font>
      <sz val="9"/>
      <color indexed="81"/>
      <name val="Tahoma"/>
      <family val="2"/>
    </font>
    <font>
      <b/>
      <sz val="9"/>
      <color indexed="81"/>
      <name val="Tahoma"/>
      <family val="2"/>
    </font>
  </fonts>
  <fills count="5">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s>
  <borders count="15">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
      <left style="thin">
        <color indexed="64"/>
      </left>
      <right style="thin">
        <color indexed="64"/>
      </right>
      <top style="thin">
        <color indexed="64"/>
      </top>
      <bottom style="thin">
        <color indexed="64"/>
      </bottom>
      <diagonal/>
    </border>
    <border>
      <left style="thin">
        <color rgb="FFB2B2B2"/>
      </left>
      <right/>
      <top style="thin">
        <color rgb="FFB2B2B2"/>
      </top>
      <bottom style="thin">
        <color rgb="FFB2B2B2"/>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90">
    <xf numFmtId="0" fontId="0" fillId="0" borderId="0"/>
    <xf numFmtId="0" fontId="1" fillId="2" borderId="1"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42">
    <xf numFmtId="0" fontId="0" fillId="0" borderId="0" xfId="0"/>
    <xf numFmtId="0" fontId="3" fillId="2" borderId="1" xfId="1" applyFont="1"/>
    <xf numFmtId="0" fontId="3" fillId="3" borderId="1" xfId="1" applyFont="1" applyFill="1"/>
    <xf numFmtId="0" fontId="2" fillId="3" borderId="0" xfId="0" applyFont="1" applyFill="1"/>
    <xf numFmtId="0" fontId="11" fillId="0" borderId="2" xfId="0" applyFont="1" applyBorder="1"/>
    <xf numFmtId="0" fontId="11"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2" fillId="4" borderId="4" xfId="0" applyFont="1" applyFill="1" applyBorder="1"/>
    <xf numFmtId="0" fontId="3" fillId="0" borderId="0" xfId="0" applyFont="1" applyAlignment="1">
      <alignment vertical="top"/>
    </xf>
    <xf numFmtId="0" fontId="8" fillId="4" borderId="8" xfId="0" applyFont="1" applyFill="1" applyBorder="1" applyAlignment="1">
      <alignment horizontal="right"/>
    </xf>
    <xf numFmtId="0" fontId="9" fillId="4" borderId="8" xfId="0" applyFont="1" applyFill="1" applyBorder="1" applyAlignment="1">
      <alignment wrapText="1"/>
    </xf>
    <xf numFmtId="0" fontId="10"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3" fillId="0" borderId="0" xfId="0" applyFont="1" applyAlignment="1">
      <alignment wrapText="1"/>
    </xf>
    <xf numFmtId="14" fontId="0" fillId="0" borderId="0" xfId="0" applyNumberFormat="1"/>
    <xf numFmtId="0" fontId="2" fillId="0" borderId="0" xfId="0" applyFont="1"/>
    <xf numFmtId="0" fontId="15" fillId="3" borderId="0" xfId="0" applyFont="1" applyFill="1"/>
    <xf numFmtId="0" fontId="1" fillId="0" borderId="0" xfId="0" applyFont="1"/>
    <xf numFmtId="0" fontId="0" fillId="0" borderId="8" xfId="0" applyBorder="1"/>
    <xf numFmtId="0" fontId="3" fillId="0" borderId="1" xfId="1" applyNumberFormat="1" applyFont="1" applyFill="1"/>
    <xf numFmtId="0" fontId="14" fillId="0" borderId="10" xfId="0" applyFont="1" applyBorder="1"/>
    <xf numFmtId="0" fontId="3" fillId="2" borderId="11" xfId="1" applyFont="1" applyBorder="1"/>
    <xf numFmtId="0" fontId="3" fillId="2" borderId="8" xfId="1" applyFont="1" applyBorder="1"/>
    <xf numFmtId="0" fontId="13" fillId="0" borderId="0" xfId="0" applyFont="1"/>
    <xf numFmtId="0" fontId="0" fillId="0" borderId="12" xfId="0" applyBorder="1"/>
    <xf numFmtId="14" fontId="0" fillId="0" borderId="12" xfId="0" applyNumberFormat="1" applyBorder="1"/>
    <xf numFmtId="0" fontId="13" fillId="0" borderId="12" xfId="0" applyFont="1" applyBorder="1"/>
    <xf numFmtId="0" fontId="1" fillId="0" borderId="12" xfId="0" applyFont="1" applyBorder="1"/>
    <xf numFmtId="0" fontId="0" fillId="0" borderId="14" xfId="0" applyBorder="1"/>
    <xf numFmtId="14" fontId="0" fillId="0" borderId="14" xfId="0" applyNumberFormat="1" applyBorder="1"/>
    <xf numFmtId="0" fontId="13" fillId="0" borderId="14" xfId="0" applyFont="1" applyBorder="1"/>
    <xf numFmtId="0" fontId="1" fillId="0" borderId="14" xfId="0" applyFont="1" applyBorder="1"/>
    <xf numFmtId="0" fontId="0" fillId="0" borderId="13" xfId="0" applyBorder="1"/>
    <xf numFmtId="14" fontId="0" fillId="0" borderId="13" xfId="0" applyNumberFormat="1" applyBorder="1"/>
    <xf numFmtId="0" fontId="13" fillId="0" borderId="13" xfId="0" applyFont="1" applyBorder="1"/>
    <xf numFmtId="0" fontId="1" fillId="0" borderId="13" xfId="0" applyFont="1" applyBorder="1"/>
    <xf numFmtId="0" fontId="0" fillId="0" borderId="0" xfId="0" applyFont="1"/>
  </cellXfs>
  <cellStyles count="90">
    <cellStyle name="Brukt hyperkopling" xfId="11" builtinId="9" hidden="1"/>
    <cellStyle name="Brukt hyperkopling" xfId="3" builtinId="9" hidden="1"/>
    <cellStyle name="Brukt hyperkopling" xfId="21" builtinId="9" hidden="1"/>
    <cellStyle name="Brukt hyperkopling" xfId="5" builtinId="9" hidden="1"/>
    <cellStyle name="Brukt hyperkopling" xfId="15" builtinId="9" hidden="1"/>
    <cellStyle name="Brukt hyperkopling" xfId="23" builtinId="9" hidden="1"/>
    <cellStyle name="Brukt hyperkopling" xfId="13" builtinId="9" hidden="1"/>
    <cellStyle name="Brukt hyperkopling" xfId="19" builtinId="9" hidden="1"/>
    <cellStyle name="Brukt hyperkopling" xfId="17" builtinId="9" hidden="1"/>
    <cellStyle name="Brukt hyperkopling" xfId="7" builtinId="9" hidden="1"/>
    <cellStyle name="Brukt hyperkopling" xfId="9" builtinId="9" hidden="1"/>
    <cellStyle name="Brukt hyperkopling" xfId="27" builtinId="9" hidden="1"/>
    <cellStyle name="Brukt hyperkopling" xfId="29" builtinId="9" hidden="1"/>
    <cellStyle name="Brukt hyperkopling" xfId="31" builtinId="9" hidden="1"/>
    <cellStyle name="Brukt hyperkopling" xfId="67" builtinId="9" hidden="1"/>
    <cellStyle name="Brukt hyperkopling" xfId="33" builtinId="9" hidden="1"/>
    <cellStyle name="Brukt hyperkopling" xfId="35" builtinId="9" hidden="1"/>
    <cellStyle name="Brukt hyperkopling" xfId="37" builtinId="9" hidden="1"/>
    <cellStyle name="Brukt hyperkopling" xfId="49" builtinId="9" hidden="1"/>
    <cellStyle name="Brukt hyperkopling" xfId="53" builtinId="9" hidden="1"/>
    <cellStyle name="Brukt hyperkopling" xfId="59" builtinId="9" hidden="1"/>
    <cellStyle name="Brukt hyperkopling" xfId="63" builtinId="9" hidden="1"/>
    <cellStyle name="Brukt hyperkopling" xfId="39" builtinId="9" hidden="1"/>
    <cellStyle name="Brukt hyperkopling" xfId="47" builtinId="9" hidden="1"/>
    <cellStyle name="Brukt hyperkopling" xfId="41" builtinId="9" hidden="1"/>
    <cellStyle name="Brukt hyperkopling" xfId="51" builtinId="9" hidden="1"/>
    <cellStyle name="Brukt hyperkopling" xfId="55" builtinId="9" hidden="1"/>
    <cellStyle name="Brukt hyperkopling" xfId="43" builtinId="9" hidden="1"/>
    <cellStyle name="Brukt hyperkopling" xfId="57" builtinId="9" hidden="1"/>
    <cellStyle name="Brukt hyperkopling" xfId="61" builtinId="9" hidden="1"/>
    <cellStyle name="Brukt hyperkopling" xfId="65" builtinId="9" hidden="1"/>
    <cellStyle name="Brukt hyperkopling" xfId="45" builtinId="9" hidden="1"/>
    <cellStyle name="Brukt hyperkopling" xfId="25" builtinId="9" hidden="1"/>
    <cellStyle name="Brukt hyperkopling" xfId="85" builtinId="9" hidden="1"/>
    <cellStyle name="Brukt hyperkopling" xfId="81" builtinId="9" hidden="1"/>
    <cellStyle name="Brukt hyperkopling" xfId="69" builtinId="9" hidden="1"/>
    <cellStyle name="Brukt hyperkopling" xfId="77" builtinId="9" hidden="1"/>
    <cellStyle name="Brukt hyperkopling" xfId="75" builtinId="9" hidden="1"/>
    <cellStyle name="Brukt hyperkopling" xfId="83" builtinId="9" hidden="1"/>
    <cellStyle name="Brukt hyperkopling" xfId="73" builtinId="9" hidden="1"/>
    <cellStyle name="Brukt hyperkopling" xfId="79" builtinId="9" hidden="1"/>
    <cellStyle name="Brukt hyperkopling" xfId="87" builtinId="9" hidden="1"/>
    <cellStyle name="Brukt hyperkopling" xfId="89" builtinId="9" hidden="1"/>
    <cellStyle name="Brukt hyperkopling" xfId="71" builtinId="9" hidden="1"/>
    <cellStyle name="Hyperkopling" xfId="28" builtinId="8" hidden="1"/>
    <cellStyle name="Hyperkopling" xfId="34" builtinId="8" hidden="1"/>
    <cellStyle name="Hyperkopling" xfId="36" builtinId="8" hidden="1"/>
    <cellStyle name="Hyperkopling" xfId="66" builtinId="8" hidden="1"/>
    <cellStyle name="Hyperkopling" xfId="14" builtinId="8" hidden="1"/>
    <cellStyle name="Hyperkopling" xfId="16" builtinId="8" hidden="1"/>
    <cellStyle name="Hyperkopling" xfId="20" builtinId="8" hidden="1"/>
    <cellStyle name="Hyperkopling" xfId="6" builtinId="8" hidden="1"/>
    <cellStyle name="Hyperkopling" xfId="10" builtinId="8" hidden="1"/>
    <cellStyle name="Hyperkopling" xfId="54" builtinId="8" hidden="1"/>
    <cellStyle name="Hyperkopling" xfId="12" builtinId="8" hidden="1"/>
    <cellStyle name="Hyperkopling" xfId="52" builtinId="8" hidden="1"/>
    <cellStyle name="Hyperkopling" xfId="48" builtinId="8" hidden="1"/>
    <cellStyle name="Hyperkopling" xfId="42" builtinId="8" hidden="1"/>
    <cellStyle name="Hyperkopling" xfId="22" builtinId="8" hidden="1"/>
    <cellStyle name="Hyperkopling" xfId="2" builtinId="8" hidden="1"/>
    <cellStyle name="Hyperkopling" xfId="30" builtinId="8" hidden="1"/>
    <cellStyle name="Hyperkopling" xfId="60" builtinId="8" hidden="1"/>
    <cellStyle name="Hyperkopling" xfId="64" builtinId="8" hidden="1"/>
    <cellStyle name="Hyperkopling" xfId="78" builtinId="8" hidden="1"/>
    <cellStyle name="Hyperkopling" xfId="88" builtinId="8" hidden="1"/>
    <cellStyle name="Hyperkopling" xfId="40" builtinId="8" hidden="1"/>
    <cellStyle name="Hyperkopling" xfId="4" builtinId="8" hidden="1"/>
    <cellStyle name="Hyperkopling" xfId="8" builtinId="8" hidden="1"/>
    <cellStyle name="Hyperkopling" xfId="18" builtinId="8" hidden="1"/>
    <cellStyle name="Hyperkopling" xfId="50" builtinId="8" hidden="1"/>
    <cellStyle name="Hyperkopling" xfId="86" builtinId="8" hidden="1"/>
    <cellStyle name="Hyperkopling" xfId="82" builtinId="8" hidden="1"/>
    <cellStyle name="Hyperkopling" xfId="74" builtinId="8" hidden="1"/>
    <cellStyle name="Hyperkopling" xfId="58" builtinId="8" hidden="1"/>
    <cellStyle name="Hyperkopling" xfId="24" builtinId="8" hidden="1"/>
    <cellStyle name="Hyperkopling" xfId="26" builtinId="8" hidden="1"/>
    <cellStyle name="Hyperkopling" xfId="56" builtinId="8" hidden="1"/>
    <cellStyle name="Hyperkopling" xfId="72" builtinId="8" hidden="1"/>
    <cellStyle name="Hyperkopling" xfId="76" builtinId="8" hidden="1"/>
    <cellStyle name="Hyperkopling" xfId="80" builtinId="8" hidden="1"/>
    <cellStyle name="Hyperkopling" xfId="84" builtinId="8" hidden="1"/>
    <cellStyle name="Hyperkopling" xfId="62" builtinId="8" hidden="1"/>
    <cellStyle name="Hyperkopling" xfId="68" builtinId="8" hidden="1"/>
    <cellStyle name="Hyperkopling" xfId="46" builtinId="8" hidden="1"/>
    <cellStyle name="Hyperkopling" xfId="32" builtinId="8" hidden="1"/>
    <cellStyle name="Hyperkopling" xfId="70" builtinId="8" hidden="1"/>
    <cellStyle name="Hyperkopling" xfId="44" builtinId="8" hidden="1"/>
    <cellStyle name="Hyperkopling" xfId="38" builtinId="8" hidden="1"/>
    <cellStyle name="Merknad" xfId="1" builtinId="10"/>
    <cellStyle name="Normal" xfId="0" builtinId="0"/>
  </cellStyles>
  <dxfs count="6">
    <dxf>
      <font>
        <b/>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rgb="FF000000"/>
        <name val="Calibri"/>
        <family val="2"/>
        <scheme val="minor"/>
      </font>
    </dxf>
    <dxf>
      <numFmt numFmtId="19" formatCode="dd/mm/yyyy"/>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fill>
        <patternFill patternType="solid">
          <fgColor indexed="64"/>
          <bgColor theme="9" tint="0.79998168889431442"/>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6B573E-5F93-49E4-AEFE-07C3D679E166}" name="Table2" displayName="Table2" ref="A1:L56" totalsRowShown="0" headerRowDxfId="5">
  <autoFilter ref="A1:L56" xr:uid="{236B573E-5F93-49E4-AEFE-07C3D679E166}"/>
  <tableColumns count="12">
    <tableColumn id="18" xr3:uid="{8668F743-4E36-4B5C-80CA-E4CE9A52BF4B}" name="parentEventID" dataDxfId="4"/>
    <tableColumn id="1" xr3:uid="{66B84863-86A4-4488-8121-E101648E936B}" name="internal_parentEventID"/>
    <tableColumn id="2" xr3:uid="{EFE72A76-8D7E-4B31-AF87-2D7A533AE689}" name="eventDate" dataDxfId="3"/>
    <tableColumn id="3" xr3:uid="{D3179FC8-6CBA-4BBF-8735-20D9759DC843}" name="year"/>
    <tableColumn id="4" xr3:uid="{47610ACF-FB02-47A5-B002-FD1B94AAE3E7}" name="month"/>
    <tableColumn id="5" xr3:uid="{73A9FBED-AE25-4DB7-81E8-E0B3FBE52F67}" name="day"/>
    <tableColumn id="13" xr3:uid="{9B47E128-00CA-4BFA-A6D8-88BB08F2C01E}" name="periodNumber" dataDxfId="2"/>
    <tableColumn id="7" xr3:uid="{0377C36F-38E9-4FC7-8C6D-2A18D729AD71}" name="samplingProtocol"/>
    <tableColumn id="8" xr3:uid="{4EA86073-7C5D-49DD-8999-91C0B9DD512C}" name="samplingEffort"/>
    <tableColumn id="9" xr3:uid="{4694BF9F-20DF-4D47-BA40-21D67A11294A}" name="sampleSizeValue"/>
    <tableColumn id="10" xr3:uid="{D99638F8-EEB2-43C1-99D5-6DA8ED8B774E}" name="sampleSizeUnit"/>
    <tableColumn id="14" xr3:uid="{AB20486B-11E4-4323-B41C-9830A1E15EBD}" name="internal_locationID" dataDxfId="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5E5818-7124-4180-999B-37E9441CB639}" name="Table1" displayName="Table1" ref="C1:L7" totalsRowShown="0" headerRowDxfId="0">
  <autoFilter ref="C1:L7" xr:uid="{1F5E5818-7124-4180-999B-37E9441CB639}"/>
  <tableColumns count="10">
    <tableColumn id="1" xr3:uid="{2FEE9F88-5BFB-42A7-882E-CA078A15D6C8}" name="locality"/>
    <tableColumn id="10" xr3:uid="{3C256F39-FEAB-45EC-802E-2C0DB585302A}" name="stationNumber"/>
    <tableColumn id="2" xr3:uid="{DD0DAC87-23B2-448C-A26E-598DEC86CD06}" name="decimalLatitude"/>
    <tableColumn id="3" xr3:uid="{EE6E4379-820F-423A-99ED-A302250B710E}" name="decimalLongitude"/>
    <tableColumn id="6" xr3:uid="{B4F407C2-4225-4FE8-9122-37CBE4EC30BF}" name="geodeticDatum"/>
    <tableColumn id="8" xr3:uid="{FF02E4C8-693B-4741-A659-A33E3EE8A3C1}" name="coordinateUncertaintyInMeters"/>
    <tableColumn id="9" xr3:uid="{B9C55B60-AEAB-46BA-B4EE-21AB0A77E086}" name="countryCode"/>
    <tableColumn id="7" xr3:uid="{CE38D879-55AE-4E4C-8C4C-6F0CEA52B256}" name="country"/>
    <tableColumn id="4" xr3:uid="{2985FED6-53CF-4AFA-84B9-12E140C48F11}" name="stateProvince"/>
    <tableColumn id="5" xr3:uid="{AFCFCAC8-B3C6-4FD1-B886-19C2B4F2C3E2}" name="count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24"/>
  <sheetViews>
    <sheetView tabSelected="1" zoomScale="60" zoomScaleNormal="60" workbookViewId="0">
      <selection activeCell="Z17" sqref="Z17"/>
    </sheetView>
  </sheetViews>
  <sheetFormatPr defaultColWidth="10.59765625" defaultRowHeight="15.6" x14ac:dyDescent="0.3"/>
  <cols>
    <col min="1" max="1" width="11.8984375" customWidth="1"/>
    <col min="2" max="2" width="35.5" customWidth="1"/>
    <col min="3" max="3" width="14.5" customWidth="1"/>
    <col min="4" max="4" width="15.5" customWidth="1"/>
    <col min="5" max="5" width="30.5" customWidth="1"/>
    <col min="6" max="10" width="13.3984375" customWidth="1"/>
    <col min="11" max="12" width="18" customWidth="1"/>
    <col min="13" max="13" width="17" customWidth="1"/>
    <col min="14" max="14" width="16" customWidth="1"/>
    <col min="15" max="15" width="13" customWidth="1"/>
    <col min="16" max="18" width="17.09765625" customWidth="1"/>
    <col min="19" max="19" width="17.59765625" customWidth="1"/>
    <col min="20" max="20" width="16.5" customWidth="1"/>
    <col min="21" max="22" width="16.09765625" customWidth="1"/>
    <col min="23" max="23" width="13.5" customWidth="1"/>
    <col min="24" max="24" width="11" customWidth="1"/>
    <col min="25" max="25" width="13.8984375" customWidth="1"/>
  </cols>
  <sheetData>
    <row r="1" spans="1:26" x14ac:dyDescent="0.3">
      <c r="A1" s="1" t="s">
        <v>0</v>
      </c>
      <c r="B1" t="s">
        <v>68</v>
      </c>
      <c r="C1" s="23" t="s">
        <v>309</v>
      </c>
      <c r="D1" s="3" t="s">
        <v>26</v>
      </c>
      <c r="E1" t="s">
        <v>25</v>
      </c>
      <c r="F1" s="1" t="s">
        <v>1</v>
      </c>
      <c r="G1" s="24" t="s">
        <v>27</v>
      </c>
      <c r="H1" s="24" t="s">
        <v>28</v>
      </c>
      <c r="I1" s="24" t="s">
        <v>29</v>
      </c>
      <c r="J1" s="24" t="s">
        <v>308</v>
      </c>
      <c r="K1" s="1" t="s">
        <v>30</v>
      </c>
      <c r="L1" s="2" t="s">
        <v>31</v>
      </c>
      <c r="M1" s="26" t="s">
        <v>32</v>
      </c>
      <c r="N1" s="27" t="s">
        <v>33</v>
      </c>
      <c r="O1" s="3" t="s">
        <v>34</v>
      </c>
      <c r="P1" s="20" t="s">
        <v>301</v>
      </c>
      <c r="Q1" s="20" t="s">
        <v>6</v>
      </c>
      <c r="R1" s="20" t="s">
        <v>300</v>
      </c>
      <c r="S1" s="3" t="s">
        <v>2</v>
      </c>
      <c r="T1" s="3" t="s">
        <v>3</v>
      </c>
      <c r="U1" s="3" t="s">
        <v>4</v>
      </c>
      <c r="V1" s="21" t="s">
        <v>299</v>
      </c>
      <c r="W1" s="2" t="s">
        <v>5</v>
      </c>
      <c r="X1" s="25" t="s">
        <v>7</v>
      </c>
      <c r="Y1" s="25" t="s">
        <v>8</v>
      </c>
      <c r="Z1" s="25" t="s">
        <v>9</v>
      </c>
    </row>
    <row r="2" spans="1:26" x14ac:dyDescent="0.3">
      <c r="B2" t="s">
        <v>69</v>
      </c>
      <c r="C2" s="23">
        <v>1</v>
      </c>
      <c r="E2" t="s">
        <v>35</v>
      </c>
      <c r="F2" s="19">
        <f>_xlfn.XLOOKUP($E2,parent_events!$B$2:$B$56,parent_events!$C$2:$C$56,"NA")</f>
        <v>45051</v>
      </c>
      <c r="G2">
        <f>_xlfn.XLOOKUP($E2,parent_events!$B$2:$B$56,parent_events!$D$2:$D$56,"NA")</f>
        <v>2023</v>
      </c>
      <c r="H2">
        <f>_xlfn.XLOOKUP($E2,parent_events!$B$2:$B$56,parent_events!$E$2:$E$56,"NA")</f>
        <v>5</v>
      </c>
      <c r="I2">
        <f>_xlfn.XLOOKUP($E2,parent_events!$B$2:$B$56,parent_events!$F$2:$F$56,"NA")</f>
        <v>5</v>
      </c>
      <c r="J2">
        <f>_xlfn.XLOOKUP($E2,parent_events!$B$2:$B$56,parent_events!$G$2:$G$56,"NA")</f>
        <v>1</v>
      </c>
      <c r="K2" t="str">
        <f>_xlfn.XLOOKUP($E2,parent_events!$B$2:$B$56,parent_events!$H$2:$H$56,"NA")</f>
        <v>Rot (1 min)</v>
      </c>
      <c r="L2" t="str">
        <f>_xlfn.XLOOKUP($E2,parent_events!$B$2:$B$56,parent_events!$I$2:$I$56,"NA")</f>
        <v>"5 replicates of 1 minute kick samples"</v>
      </c>
      <c r="M2">
        <f>_xlfn.XLOOKUP($E2,parent_events!$B$2:$B$56,parent_events!$J$2:$J$56,"NA")</f>
        <v>1</v>
      </c>
      <c r="N2" s="23" t="str">
        <f>_xlfn.XLOOKUP($E2,parent_events!$B$2:$B$56,parent_events!$K$2:$K$56,"NA")</f>
        <v>decimalMinute</v>
      </c>
      <c r="P2" t="str">
        <f>_xlfn.XLOOKUP($E2,parent_events!$B$2:$B$56,parent_events!$L$2:$L$56,"NA")</f>
        <v>Barsetvatnet_st1</v>
      </c>
      <c r="Q2" t="str">
        <f>_xlfn.XLOOKUP($P2,localities!$B$2:$B$49,localities!$C$2:$C$49,"NA")</f>
        <v>Barsetvatnet</v>
      </c>
      <c r="R2">
        <f>_xlfn.XLOOKUP($P2,localities!$B$2:$B$49,localities!$D$2:$D$49,"NA")</f>
        <v>1</v>
      </c>
      <c r="S2">
        <f>_xlfn.XLOOKUP($P2,localities!$B$2:$B$49,localities!$E$2:$E$49,"NA")</f>
        <v>63.797785500000003</v>
      </c>
      <c r="T2">
        <f>_xlfn.XLOOKUP($P2,localities!$B$2:$B$49,localities!$F$2:$F$49,"NA")</f>
        <v>9.8281852999999995</v>
      </c>
      <c r="U2" t="str">
        <f>_xlfn.XLOOKUP($P2,localities!$B$2:$B$49,localities!$G$2:$G$49,"NA")</f>
        <v>WGS84</v>
      </c>
      <c r="V2">
        <f>_xlfn.XLOOKUP($P2,localities!$B$2:$B$49,localities!$H$2:$H$49,"NA")</f>
        <v>5</v>
      </c>
      <c r="W2" t="str">
        <f>_xlfn.XLOOKUP($P2,localities!$B$2:$B$49,localities!$I$2:$I$49,"NA")</f>
        <v>NOR</v>
      </c>
      <c r="X2" t="str">
        <f>_xlfn.XLOOKUP($P2,localities!$B$2:$B$49,localities!$J$2:$J$49,"NA")</f>
        <v>Norway</v>
      </c>
      <c r="Y2" t="str">
        <f>_xlfn.XLOOKUP($P2,localities!$B$2:$B$49,localities!$K$2:$K$49,"NA")</f>
        <v>Sør-Trøndelag</v>
      </c>
      <c r="Z2" t="str">
        <f>_xlfn.XLOOKUP($P2,localities!$B$2:$B$49,localities!$L$2:$L$49,"NA")</f>
        <v>Ørland</v>
      </c>
    </row>
    <row r="3" spans="1:26" x14ac:dyDescent="0.3">
      <c r="B3" t="s">
        <v>70</v>
      </c>
      <c r="C3" s="23">
        <v>2</v>
      </c>
      <c r="E3" t="s">
        <v>35</v>
      </c>
      <c r="F3" s="19">
        <f>_xlfn.XLOOKUP($E3,parent_events!$B$2:$B$56,parent_events!$C$2:$C$56,"NA")</f>
        <v>45051</v>
      </c>
      <c r="G3">
        <f>_xlfn.XLOOKUP($E3,parent_events!$B$2:$B$56,parent_events!$D$2:$D$56,"NA")</f>
        <v>2023</v>
      </c>
      <c r="H3">
        <f>_xlfn.XLOOKUP($E3,parent_events!$B$2:$B$56,parent_events!$E$2:$E$56,"NA")</f>
        <v>5</v>
      </c>
      <c r="I3">
        <f>_xlfn.XLOOKUP($E3,parent_events!$B$2:$B$56,parent_events!$F$2:$F$56,"NA")</f>
        <v>5</v>
      </c>
      <c r="J3">
        <f>_xlfn.XLOOKUP($E3,parent_events!$B$2:$B$56,parent_events!$G$2:$G$56,"NA")</f>
        <v>1</v>
      </c>
      <c r="K3" t="str">
        <f>_xlfn.XLOOKUP($E3,parent_events!$B$2:$B$56,parent_events!$H$2:$H$56,"NA")</f>
        <v>Rot (1 min)</v>
      </c>
      <c r="L3" t="str">
        <f>_xlfn.XLOOKUP($E3,parent_events!$B$2:$B$56,parent_events!$I$2:$I$56,"NA")</f>
        <v>"5 replicates of 1 minute kick samples"</v>
      </c>
      <c r="M3">
        <f>_xlfn.XLOOKUP($E3,parent_events!$B$2:$B$56,parent_events!$J$2:$J$56,"NA")</f>
        <v>1</v>
      </c>
      <c r="N3" s="23" t="str">
        <f>_xlfn.XLOOKUP($E3,parent_events!$B$2:$B$56,parent_events!$K$2:$K$56,"NA")</f>
        <v>decimalMinute</v>
      </c>
      <c r="P3" t="str">
        <f>_xlfn.XLOOKUP($E3,parent_events!$B$2:$B$56,parent_events!$L$2:$L$56,"NA")</f>
        <v>Barsetvatnet_st1</v>
      </c>
      <c r="Q3" t="str">
        <f>_xlfn.XLOOKUP($P3,localities!$B$2:$B$49,localities!$C$2:$C$49,"NA")</f>
        <v>Barsetvatnet</v>
      </c>
      <c r="R3">
        <f>_xlfn.XLOOKUP($P3,localities!$B$2:$B$49,localities!$D$2:$D$49,"NA")</f>
        <v>1</v>
      </c>
      <c r="S3">
        <f>_xlfn.XLOOKUP($P3,localities!$B$2:$B$49,localities!$E$2:$E$49,"NA")</f>
        <v>63.797785500000003</v>
      </c>
      <c r="T3">
        <f>_xlfn.XLOOKUP($P3,localities!$B$2:$B$49,localities!$F$2:$F$49,"NA")</f>
        <v>9.8281852999999995</v>
      </c>
      <c r="U3" t="str">
        <f>_xlfn.XLOOKUP($P3,localities!$B$2:$B$49,localities!$G$2:$G$49,"NA")</f>
        <v>WGS84</v>
      </c>
      <c r="V3">
        <f>_xlfn.XLOOKUP($P3,localities!$B$2:$B$49,localities!$H$2:$H$49,"NA")</f>
        <v>5</v>
      </c>
      <c r="W3" t="str">
        <f>_xlfn.XLOOKUP($P3,localities!$B$2:$B$49,localities!$I$2:$I$49,"NA")</f>
        <v>NOR</v>
      </c>
      <c r="X3" t="str">
        <f>_xlfn.XLOOKUP($P3,localities!$B$2:$B$49,localities!$J$2:$J$49,"NA")</f>
        <v>Norway</v>
      </c>
      <c r="Y3" t="str">
        <f>_xlfn.XLOOKUP($P3,localities!$B$2:$B$49,localities!$K$2:$K$49,"NA")</f>
        <v>Sør-Trøndelag</v>
      </c>
      <c r="Z3" t="str">
        <f>_xlfn.XLOOKUP($P3,localities!$B$2:$B$49,localities!$L$2:$L$49,"NA")</f>
        <v>Ørland</v>
      </c>
    </row>
    <row r="4" spans="1:26" x14ac:dyDescent="0.3">
      <c r="B4" t="s">
        <v>71</v>
      </c>
      <c r="C4" s="23">
        <v>3</v>
      </c>
      <c r="E4" t="s">
        <v>35</v>
      </c>
      <c r="F4" s="19">
        <f>_xlfn.XLOOKUP($E4,parent_events!$B$2:$B$56,parent_events!$C$2:$C$56,"NA")</f>
        <v>45051</v>
      </c>
      <c r="G4">
        <f>_xlfn.XLOOKUP($E4,parent_events!$B$2:$B$56,parent_events!$D$2:$D$56,"NA")</f>
        <v>2023</v>
      </c>
      <c r="H4">
        <f>_xlfn.XLOOKUP($E4,parent_events!$B$2:$B$56,parent_events!$E$2:$E$56,"NA")</f>
        <v>5</v>
      </c>
      <c r="I4">
        <f>_xlfn.XLOOKUP($E4,parent_events!$B$2:$B$56,parent_events!$F$2:$F$56,"NA")</f>
        <v>5</v>
      </c>
      <c r="J4">
        <f>_xlfn.XLOOKUP($E4,parent_events!$B$2:$B$56,parent_events!$G$2:$G$56,"NA")</f>
        <v>1</v>
      </c>
      <c r="K4" t="str">
        <f>_xlfn.XLOOKUP($E4,parent_events!$B$2:$B$56,parent_events!$H$2:$H$56,"NA")</f>
        <v>Rot (1 min)</v>
      </c>
      <c r="L4" t="str">
        <f>_xlfn.XLOOKUP($E4,parent_events!$B$2:$B$56,parent_events!$I$2:$I$56,"NA")</f>
        <v>"5 replicates of 1 minute kick samples"</v>
      </c>
      <c r="M4">
        <f>_xlfn.XLOOKUP($E4,parent_events!$B$2:$B$56,parent_events!$J$2:$J$56,"NA")</f>
        <v>1</v>
      </c>
      <c r="N4" s="23" t="str">
        <f>_xlfn.XLOOKUP($E4,parent_events!$B$2:$B$56,parent_events!$K$2:$K$56,"NA")</f>
        <v>decimalMinute</v>
      </c>
      <c r="P4" t="str">
        <f>_xlfn.XLOOKUP($E4,parent_events!$B$2:$B$56,parent_events!$L$2:$L$56,"NA")</f>
        <v>Barsetvatnet_st1</v>
      </c>
      <c r="Q4" t="str">
        <f>_xlfn.XLOOKUP($P4,localities!$B$2:$B$49,localities!$C$2:$C$49,"NA")</f>
        <v>Barsetvatnet</v>
      </c>
      <c r="R4">
        <f>_xlfn.XLOOKUP($P4,localities!$B$2:$B$49,localities!$D$2:$D$49,"NA")</f>
        <v>1</v>
      </c>
      <c r="S4">
        <f>_xlfn.XLOOKUP($P4,localities!$B$2:$B$49,localities!$E$2:$E$49,"NA")</f>
        <v>63.797785500000003</v>
      </c>
      <c r="T4">
        <f>_xlfn.XLOOKUP($P4,localities!$B$2:$B$49,localities!$F$2:$F$49,"NA")</f>
        <v>9.8281852999999995</v>
      </c>
      <c r="U4" t="str">
        <f>_xlfn.XLOOKUP($P4,localities!$B$2:$B$49,localities!$G$2:$G$49,"NA")</f>
        <v>WGS84</v>
      </c>
      <c r="V4">
        <f>_xlfn.XLOOKUP($P4,localities!$B$2:$B$49,localities!$H$2:$H$49,"NA")</f>
        <v>5</v>
      </c>
      <c r="W4" t="str">
        <f>_xlfn.XLOOKUP($P4,localities!$B$2:$B$49,localities!$I$2:$I$49,"NA")</f>
        <v>NOR</v>
      </c>
      <c r="X4" t="str">
        <f>_xlfn.XLOOKUP($P4,localities!$B$2:$B$49,localities!$J$2:$J$49,"NA")</f>
        <v>Norway</v>
      </c>
      <c r="Y4" t="str">
        <f>_xlfn.XLOOKUP($P4,localities!$B$2:$B$49,localities!$K$2:$K$49,"NA")</f>
        <v>Sør-Trøndelag</v>
      </c>
      <c r="Z4" t="str">
        <f>_xlfn.XLOOKUP($P4,localities!$B$2:$B$49,localities!$L$2:$L$49,"NA")</f>
        <v>Ørland</v>
      </c>
    </row>
    <row r="5" spans="1:26" x14ac:dyDescent="0.3">
      <c r="B5" t="s">
        <v>72</v>
      </c>
      <c r="C5" s="23">
        <v>4</v>
      </c>
      <c r="E5" t="s">
        <v>35</v>
      </c>
      <c r="F5" s="19">
        <f>_xlfn.XLOOKUP($E5,parent_events!$B$2:$B$56,parent_events!$C$2:$C$56,"NA")</f>
        <v>45051</v>
      </c>
      <c r="G5">
        <f>_xlfn.XLOOKUP($E5,parent_events!$B$2:$B$56,parent_events!$D$2:$D$56,"NA")</f>
        <v>2023</v>
      </c>
      <c r="H5">
        <f>_xlfn.XLOOKUP($E5,parent_events!$B$2:$B$56,parent_events!$E$2:$E$56,"NA")</f>
        <v>5</v>
      </c>
      <c r="I5">
        <f>_xlfn.XLOOKUP($E5,parent_events!$B$2:$B$56,parent_events!$F$2:$F$56,"NA")</f>
        <v>5</v>
      </c>
      <c r="J5">
        <f>_xlfn.XLOOKUP($E5,parent_events!$B$2:$B$56,parent_events!$G$2:$G$56,"NA")</f>
        <v>1</v>
      </c>
      <c r="K5" t="str">
        <f>_xlfn.XLOOKUP($E5,parent_events!$B$2:$B$56,parent_events!$H$2:$H$56,"NA")</f>
        <v>Rot (1 min)</v>
      </c>
      <c r="L5" t="str">
        <f>_xlfn.XLOOKUP($E5,parent_events!$B$2:$B$56,parent_events!$I$2:$I$56,"NA")</f>
        <v>"5 replicates of 1 minute kick samples"</v>
      </c>
      <c r="M5">
        <f>_xlfn.XLOOKUP($E5,parent_events!$B$2:$B$56,parent_events!$J$2:$J$56,"NA")</f>
        <v>1</v>
      </c>
      <c r="N5" s="23" t="str">
        <f>_xlfn.XLOOKUP($E5,parent_events!$B$2:$B$56,parent_events!$K$2:$K$56,"NA")</f>
        <v>decimalMinute</v>
      </c>
      <c r="P5" t="str">
        <f>_xlfn.XLOOKUP($E5,parent_events!$B$2:$B$56,parent_events!$L$2:$L$56,"NA")</f>
        <v>Barsetvatnet_st1</v>
      </c>
      <c r="Q5" t="str">
        <f>_xlfn.XLOOKUP($P5,localities!$B$2:$B$49,localities!$C$2:$C$49,"NA")</f>
        <v>Barsetvatnet</v>
      </c>
      <c r="R5">
        <f>_xlfn.XLOOKUP($P5,localities!$B$2:$B$49,localities!$D$2:$D$49,"NA")</f>
        <v>1</v>
      </c>
      <c r="S5">
        <f>_xlfn.XLOOKUP($P5,localities!$B$2:$B$49,localities!$E$2:$E$49,"NA")</f>
        <v>63.797785500000003</v>
      </c>
      <c r="T5">
        <f>_xlfn.XLOOKUP($P5,localities!$B$2:$B$49,localities!$F$2:$F$49,"NA")</f>
        <v>9.8281852999999995</v>
      </c>
      <c r="U5" t="str">
        <f>_xlfn.XLOOKUP($P5,localities!$B$2:$B$49,localities!$G$2:$G$49,"NA")</f>
        <v>WGS84</v>
      </c>
      <c r="V5">
        <f>_xlfn.XLOOKUP($P5,localities!$B$2:$B$49,localities!$H$2:$H$49,"NA")</f>
        <v>5</v>
      </c>
      <c r="W5" t="str">
        <f>_xlfn.XLOOKUP($P5,localities!$B$2:$B$49,localities!$I$2:$I$49,"NA")</f>
        <v>NOR</v>
      </c>
      <c r="X5" t="str">
        <f>_xlfn.XLOOKUP($P5,localities!$B$2:$B$49,localities!$J$2:$J$49,"NA")</f>
        <v>Norway</v>
      </c>
      <c r="Y5" t="str">
        <f>_xlfn.XLOOKUP($P5,localities!$B$2:$B$49,localities!$K$2:$K$49,"NA")</f>
        <v>Sør-Trøndelag</v>
      </c>
      <c r="Z5" t="str">
        <f>_xlfn.XLOOKUP($P5,localities!$B$2:$B$49,localities!$L$2:$L$49,"NA")</f>
        <v>Ørland</v>
      </c>
    </row>
    <row r="6" spans="1:26" x14ac:dyDescent="0.3">
      <c r="B6" t="s">
        <v>73</v>
      </c>
      <c r="C6" s="23">
        <v>5</v>
      </c>
      <c r="E6" t="s">
        <v>35</v>
      </c>
      <c r="F6" s="19">
        <f>_xlfn.XLOOKUP($E6,parent_events!$B$2:$B$56,parent_events!$C$2:$C$56,"NA")</f>
        <v>45051</v>
      </c>
      <c r="G6">
        <f>_xlfn.XLOOKUP($E6,parent_events!$B$2:$B$56,parent_events!$D$2:$D$56,"NA")</f>
        <v>2023</v>
      </c>
      <c r="H6">
        <f>_xlfn.XLOOKUP($E6,parent_events!$B$2:$B$56,parent_events!$E$2:$E$56,"NA")</f>
        <v>5</v>
      </c>
      <c r="I6">
        <f>_xlfn.XLOOKUP($E6,parent_events!$B$2:$B$56,parent_events!$F$2:$F$56,"NA")</f>
        <v>5</v>
      </c>
      <c r="J6">
        <f>_xlfn.XLOOKUP($E6,parent_events!$B$2:$B$56,parent_events!$G$2:$G$56,"NA")</f>
        <v>1</v>
      </c>
      <c r="K6" t="str">
        <f>_xlfn.XLOOKUP($E6,parent_events!$B$2:$B$56,parent_events!$H$2:$H$56,"NA")</f>
        <v>Rot (1 min)</v>
      </c>
      <c r="L6" t="str">
        <f>_xlfn.XLOOKUP($E6,parent_events!$B$2:$B$56,parent_events!$I$2:$I$56,"NA")</f>
        <v>"5 replicates of 1 minute kick samples"</v>
      </c>
      <c r="M6">
        <f>_xlfn.XLOOKUP($E6,parent_events!$B$2:$B$56,parent_events!$J$2:$J$56,"NA")</f>
        <v>1</v>
      </c>
      <c r="N6" s="23" t="str">
        <f>_xlfn.XLOOKUP($E6,parent_events!$B$2:$B$56,parent_events!$K$2:$K$56,"NA")</f>
        <v>decimalMinute</v>
      </c>
      <c r="P6" t="str">
        <f>_xlfn.XLOOKUP($E6,parent_events!$B$2:$B$56,parent_events!$L$2:$L$56,"NA")</f>
        <v>Barsetvatnet_st1</v>
      </c>
      <c r="Q6" t="str">
        <f>_xlfn.XLOOKUP($P6,localities!$B$2:$B$49,localities!$C$2:$C$49,"NA")</f>
        <v>Barsetvatnet</v>
      </c>
      <c r="R6">
        <f>_xlfn.XLOOKUP($P6,localities!$B$2:$B$49,localities!$D$2:$D$49,"NA")</f>
        <v>1</v>
      </c>
      <c r="S6">
        <f>_xlfn.XLOOKUP($P6,localities!$B$2:$B$49,localities!$E$2:$E$49,"NA")</f>
        <v>63.797785500000003</v>
      </c>
      <c r="T6">
        <f>_xlfn.XLOOKUP($P6,localities!$B$2:$B$49,localities!$F$2:$F$49,"NA")</f>
        <v>9.8281852999999995</v>
      </c>
      <c r="U6" t="str">
        <f>_xlfn.XLOOKUP($P6,localities!$B$2:$B$49,localities!$G$2:$G$49,"NA")</f>
        <v>WGS84</v>
      </c>
      <c r="V6">
        <f>_xlfn.XLOOKUP($P6,localities!$B$2:$B$49,localities!$H$2:$H$49,"NA")</f>
        <v>5</v>
      </c>
      <c r="W6" t="str">
        <f>_xlfn.XLOOKUP($P6,localities!$B$2:$B$49,localities!$I$2:$I$49,"NA")</f>
        <v>NOR</v>
      </c>
      <c r="X6" t="str">
        <f>_xlfn.XLOOKUP($P6,localities!$B$2:$B$49,localities!$J$2:$J$49,"NA")</f>
        <v>Norway</v>
      </c>
      <c r="Y6" t="str">
        <f>_xlfn.XLOOKUP($P6,localities!$B$2:$B$49,localities!$K$2:$K$49,"NA")</f>
        <v>Sør-Trøndelag</v>
      </c>
      <c r="Z6" t="str">
        <f>_xlfn.XLOOKUP($P6,localities!$B$2:$B$49,localities!$L$2:$L$49,"NA")</f>
        <v>Ørland</v>
      </c>
    </row>
    <row r="7" spans="1:26" x14ac:dyDescent="0.3">
      <c r="B7" t="s">
        <v>74</v>
      </c>
      <c r="C7" s="23">
        <v>1</v>
      </c>
      <c r="E7" t="s">
        <v>39</v>
      </c>
      <c r="F7" s="19">
        <f>_xlfn.XLOOKUP($E7,parent_events!$B$2:$B$56,parent_events!$C$2:$C$56,"NA")</f>
        <v>45053</v>
      </c>
      <c r="G7">
        <f>_xlfn.XLOOKUP($E7,parent_events!$B$2:$B$56,parent_events!$D$2:$D$56,"NA")</f>
        <v>2023</v>
      </c>
      <c r="H7">
        <f>_xlfn.XLOOKUP($E7,parent_events!$B$2:$B$56,parent_events!$E$2:$E$56,"NA")</f>
        <v>5</v>
      </c>
      <c r="I7">
        <f>_xlfn.XLOOKUP($E7,parent_events!$B$2:$B$56,parent_events!$F$2:$F$56,"NA")</f>
        <v>7</v>
      </c>
      <c r="J7">
        <f>_xlfn.XLOOKUP($E7,parent_events!$B$2:$B$56,parent_events!$G$2:$G$56,"NA")</f>
        <v>1</v>
      </c>
      <c r="K7" t="str">
        <f>_xlfn.XLOOKUP($E7,parent_events!$B$2:$B$56,parent_events!$H$2:$H$56,"NA")</f>
        <v>Rot (1 min)</v>
      </c>
      <c r="L7" t="str">
        <f>_xlfn.XLOOKUP($E7,parent_events!$B$2:$B$56,parent_events!$I$2:$I$56,"NA")</f>
        <v>"5 replicates of 1 minute kick samples"</v>
      </c>
      <c r="M7">
        <f>_xlfn.XLOOKUP($E7,parent_events!$B$2:$B$56,parent_events!$J$2:$J$56,"NA")</f>
        <v>1</v>
      </c>
      <c r="N7" s="23" t="str">
        <f>_xlfn.XLOOKUP($E7,parent_events!$B$2:$B$56,parent_events!$K$2:$K$56,"NA")</f>
        <v>decimalMinute</v>
      </c>
      <c r="P7" t="str">
        <f>_xlfn.XLOOKUP($E7,parent_events!$B$2:$B$56,parent_events!$L$2:$L$56,"NA")</f>
        <v>Gjoljavatnet_st1</v>
      </c>
      <c r="Q7" t="str">
        <f>_xlfn.XLOOKUP($P7,localities!$B$2:$B$49,localities!$C$2:$C$49,"NA")</f>
        <v>Gjøljavatnet</v>
      </c>
      <c r="R7">
        <f>_xlfn.XLOOKUP($P7,localities!$B$2:$B$49,localities!$D$2:$D$49,"NA")</f>
        <v>1</v>
      </c>
      <c r="S7">
        <f>_xlfn.XLOOKUP($P7,localities!$B$2:$B$49,localities!$E$2:$E$49,"NA")</f>
        <v>63.789260900000002</v>
      </c>
      <c r="T7">
        <f>_xlfn.XLOOKUP($P7,localities!$B$2:$B$49,localities!$F$2:$F$49,"NA")</f>
        <v>10.0251734</v>
      </c>
      <c r="U7" t="str">
        <f>_xlfn.XLOOKUP($P7,localities!$B$2:$B$49,localities!$G$2:$G$49,"NA")</f>
        <v>WGS84</v>
      </c>
      <c r="V7">
        <f>_xlfn.XLOOKUP($P7,localities!$B$2:$B$49,localities!$H$2:$H$49,"NA")</f>
        <v>5</v>
      </c>
      <c r="W7" t="str">
        <f>_xlfn.XLOOKUP($P7,localities!$B$2:$B$49,localities!$I$2:$I$49,"NA")</f>
        <v>NOR</v>
      </c>
      <c r="X7" t="str">
        <f>_xlfn.XLOOKUP($P7,localities!$B$2:$B$49,localities!$J$2:$J$49,"NA")</f>
        <v>Norway</v>
      </c>
      <c r="Y7" t="str">
        <f>_xlfn.XLOOKUP($P7,localities!$B$2:$B$49,localities!$K$2:$K$49,"NA")</f>
        <v>Sør-Trøndelag</v>
      </c>
      <c r="Z7" t="str">
        <f>_xlfn.XLOOKUP($P7,localities!$B$2:$B$49,localities!$L$2:$L$49,"NA")</f>
        <v>Indre Fosen</v>
      </c>
    </row>
    <row r="8" spans="1:26" x14ac:dyDescent="0.3">
      <c r="B8" t="s">
        <v>75</v>
      </c>
      <c r="C8" s="23">
        <v>2</v>
      </c>
      <c r="E8" t="s">
        <v>39</v>
      </c>
      <c r="F8" s="19">
        <f>_xlfn.XLOOKUP($E8,parent_events!$B$2:$B$56,parent_events!$C$2:$C$56,"NA")</f>
        <v>45053</v>
      </c>
      <c r="G8">
        <f>_xlfn.XLOOKUP($E8,parent_events!$B$2:$B$56,parent_events!$D$2:$D$56,"NA")</f>
        <v>2023</v>
      </c>
      <c r="H8">
        <f>_xlfn.XLOOKUP($E8,parent_events!$B$2:$B$56,parent_events!$E$2:$E$56,"NA")</f>
        <v>5</v>
      </c>
      <c r="I8">
        <f>_xlfn.XLOOKUP($E8,parent_events!$B$2:$B$56,parent_events!$F$2:$F$56,"NA")</f>
        <v>7</v>
      </c>
      <c r="J8">
        <f>_xlfn.XLOOKUP($E8,parent_events!$B$2:$B$56,parent_events!$G$2:$G$56,"NA")</f>
        <v>1</v>
      </c>
      <c r="K8" t="str">
        <f>_xlfn.XLOOKUP($E8,parent_events!$B$2:$B$56,parent_events!$H$2:$H$56,"NA")</f>
        <v>Rot (1 min)</v>
      </c>
      <c r="L8" t="str">
        <f>_xlfn.XLOOKUP($E8,parent_events!$B$2:$B$56,parent_events!$I$2:$I$56,"NA")</f>
        <v>"5 replicates of 1 minute kick samples"</v>
      </c>
      <c r="M8">
        <f>_xlfn.XLOOKUP($E8,parent_events!$B$2:$B$56,parent_events!$J$2:$J$56,"NA")</f>
        <v>1</v>
      </c>
      <c r="N8" s="23" t="str">
        <f>_xlfn.XLOOKUP($E8,parent_events!$B$2:$B$56,parent_events!$K$2:$K$56,"NA")</f>
        <v>decimalMinute</v>
      </c>
      <c r="P8" t="str">
        <f>_xlfn.XLOOKUP($E8,parent_events!$B$2:$B$56,parent_events!$L$2:$L$56,"NA")</f>
        <v>Gjoljavatnet_st1</v>
      </c>
      <c r="Q8" t="str">
        <f>_xlfn.XLOOKUP($P8,localities!$B$2:$B$49,localities!$C$2:$C$49,"NA")</f>
        <v>Gjøljavatnet</v>
      </c>
      <c r="R8">
        <f>_xlfn.XLOOKUP($P8,localities!$B$2:$B$49,localities!$D$2:$D$49,"NA")</f>
        <v>1</v>
      </c>
      <c r="S8">
        <f>_xlfn.XLOOKUP($P8,localities!$B$2:$B$49,localities!$E$2:$E$49,"NA")</f>
        <v>63.789260900000002</v>
      </c>
      <c r="T8">
        <f>_xlfn.XLOOKUP($P8,localities!$B$2:$B$49,localities!$F$2:$F$49,"NA")</f>
        <v>10.0251734</v>
      </c>
      <c r="U8" t="str">
        <f>_xlfn.XLOOKUP($P8,localities!$B$2:$B$49,localities!$G$2:$G$49,"NA")</f>
        <v>WGS84</v>
      </c>
      <c r="V8">
        <f>_xlfn.XLOOKUP($P8,localities!$B$2:$B$49,localities!$H$2:$H$49,"NA")</f>
        <v>5</v>
      </c>
      <c r="W8" t="str">
        <f>_xlfn.XLOOKUP($P8,localities!$B$2:$B$49,localities!$I$2:$I$49,"NA")</f>
        <v>NOR</v>
      </c>
      <c r="X8" t="str">
        <f>_xlfn.XLOOKUP($P8,localities!$B$2:$B$49,localities!$J$2:$J$49,"NA")</f>
        <v>Norway</v>
      </c>
      <c r="Y8" t="str">
        <f>_xlfn.XLOOKUP($P8,localities!$B$2:$B$49,localities!$K$2:$K$49,"NA")</f>
        <v>Sør-Trøndelag</v>
      </c>
      <c r="Z8" t="str">
        <f>_xlfn.XLOOKUP($P8,localities!$B$2:$B$49,localities!$L$2:$L$49,"NA")</f>
        <v>Indre Fosen</v>
      </c>
    </row>
    <row r="9" spans="1:26" x14ac:dyDescent="0.3">
      <c r="B9" t="s">
        <v>76</v>
      </c>
      <c r="C9" s="23">
        <v>3</v>
      </c>
      <c r="E9" t="s">
        <v>39</v>
      </c>
      <c r="F9" s="19">
        <f>_xlfn.XLOOKUP($E9,parent_events!$B$2:$B$56,parent_events!$C$2:$C$56,"NA")</f>
        <v>45053</v>
      </c>
      <c r="G9">
        <f>_xlfn.XLOOKUP($E9,parent_events!$B$2:$B$56,parent_events!$D$2:$D$56,"NA")</f>
        <v>2023</v>
      </c>
      <c r="H9">
        <f>_xlfn.XLOOKUP($E9,parent_events!$B$2:$B$56,parent_events!$E$2:$E$56,"NA")</f>
        <v>5</v>
      </c>
      <c r="I9">
        <f>_xlfn.XLOOKUP($E9,parent_events!$B$2:$B$56,parent_events!$F$2:$F$56,"NA")</f>
        <v>7</v>
      </c>
      <c r="J9">
        <f>_xlfn.XLOOKUP($E9,parent_events!$B$2:$B$56,parent_events!$G$2:$G$56,"NA")</f>
        <v>1</v>
      </c>
      <c r="K9" t="str">
        <f>_xlfn.XLOOKUP($E9,parent_events!$B$2:$B$56,parent_events!$H$2:$H$56,"NA")</f>
        <v>Rot (1 min)</v>
      </c>
      <c r="L9" t="str">
        <f>_xlfn.XLOOKUP($E9,parent_events!$B$2:$B$56,parent_events!$I$2:$I$56,"NA")</f>
        <v>"5 replicates of 1 minute kick samples"</v>
      </c>
      <c r="M9">
        <f>_xlfn.XLOOKUP($E9,parent_events!$B$2:$B$56,parent_events!$J$2:$J$56,"NA")</f>
        <v>1</v>
      </c>
      <c r="N9" s="23" t="str">
        <f>_xlfn.XLOOKUP($E9,parent_events!$B$2:$B$56,parent_events!$K$2:$K$56,"NA")</f>
        <v>decimalMinute</v>
      </c>
      <c r="P9" t="str">
        <f>_xlfn.XLOOKUP($E9,parent_events!$B$2:$B$56,parent_events!$L$2:$L$56,"NA")</f>
        <v>Gjoljavatnet_st1</v>
      </c>
      <c r="Q9" t="str">
        <f>_xlfn.XLOOKUP($P9,localities!$B$2:$B$49,localities!$C$2:$C$49,"NA")</f>
        <v>Gjøljavatnet</v>
      </c>
      <c r="R9">
        <f>_xlfn.XLOOKUP($P9,localities!$B$2:$B$49,localities!$D$2:$D$49,"NA")</f>
        <v>1</v>
      </c>
      <c r="S9">
        <f>_xlfn.XLOOKUP($P9,localities!$B$2:$B$49,localities!$E$2:$E$49,"NA")</f>
        <v>63.789260900000002</v>
      </c>
      <c r="T9">
        <f>_xlfn.XLOOKUP($P9,localities!$B$2:$B$49,localities!$F$2:$F$49,"NA")</f>
        <v>10.0251734</v>
      </c>
      <c r="U9" t="str">
        <f>_xlfn.XLOOKUP($P9,localities!$B$2:$B$49,localities!$G$2:$G$49,"NA")</f>
        <v>WGS84</v>
      </c>
      <c r="V9">
        <f>_xlfn.XLOOKUP($P9,localities!$B$2:$B$49,localities!$H$2:$H$49,"NA")</f>
        <v>5</v>
      </c>
      <c r="W9" t="str">
        <f>_xlfn.XLOOKUP($P9,localities!$B$2:$B$49,localities!$I$2:$I$49,"NA")</f>
        <v>NOR</v>
      </c>
      <c r="X9" t="str">
        <f>_xlfn.XLOOKUP($P9,localities!$B$2:$B$49,localities!$J$2:$J$49,"NA")</f>
        <v>Norway</v>
      </c>
      <c r="Y9" t="str">
        <f>_xlfn.XLOOKUP($P9,localities!$B$2:$B$49,localities!$K$2:$K$49,"NA")</f>
        <v>Sør-Trøndelag</v>
      </c>
      <c r="Z9" t="str">
        <f>_xlfn.XLOOKUP($P9,localities!$B$2:$B$49,localities!$L$2:$L$49,"NA")</f>
        <v>Indre Fosen</v>
      </c>
    </row>
    <row r="10" spans="1:26" x14ac:dyDescent="0.3">
      <c r="B10" t="s">
        <v>77</v>
      </c>
      <c r="C10" s="23">
        <v>4</v>
      </c>
      <c r="E10" t="s">
        <v>39</v>
      </c>
      <c r="F10" s="19">
        <f>_xlfn.XLOOKUP($E10,parent_events!$B$2:$B$56,parent_events!$C$2:$C$56,"NA")</f>
        <v>45053</v>
      </c>
      <c r="G10">
        <f>_xlfn.XLOOKUP($E10,parent_events!$B$2:$B$56,parent_events!$D$2:$D$56,"NA")</f>
        <v>2023</v>
      </c>
      <c r="H10">
        <f>_xlfn.XLOOKUP($E10,parent_events!$B$2:$B$56,parent_events!$E$2:$E$56,"NA")</f>
        <v>5</v>
      </c>
      <c r="I10">
        <f>_xlfn.XLOOKUP($E10,parent_events!$B$2:$B$56,parent_events!$F$2:$F$56,"NA")</f>
        <v>7</v>
      </c>
      <c r="J10">
        <f>_xlfn.XLOOKUP($E10,parent_events!$B$2:$B$56,parent_events!$G$2:$G$56,"NA")</f>
        <v>1</v>
      </c>
      <c r="K10" t="str">
        <f>_xlfn.XLOOKUP($E10,parent_events!$B$2:$B$56,parent_events!$H$2:$H$56,"NA")</f>
        <v>Rot (1 min)</v>
      </c>
      <c r="L10" t="str">
        <f>_xlfn.XLOOKUP($E10,parent_events!$B$2:$B$56,parent_events!$I$2:$I$56,"NA")</f>
        <v>"5 replicates of 1 minute kick samples"</v>
      </c>
      <c r="M10">
        <f>_xlfn.XLOOKUP($E10,parent_events!$B$2:$B$56,parent_events!$J$2:$J$56,"NA")</f>
        <v>1</v>
      </c>
      <c r="N10" s="23" t="str">
        <f>_xlfn.XLOOKUP($E10,parent_events!$B$2:$B$56,parent_events!$K$2:$K$56,"NA")</f>
        <v>decimalMinute</v>
      </c>
      <c r="P10" t="str">
        <f>_xlfn.XLOOKUP($E10,parent_events!$B$2:$B$56,parent_events!$L$2:$L$56,"NA")</f>
        <v>Gjoljavatnet_st1</v>
      </c>
      <c r="Q10" t="str">
        <f>_xlfn.XLOOKUP($P10,localities!$B$2:$B$49,localities!$C$2:$C$49,"NA")</f>
        <v>Gjøljavatnet</v>
      </c>
      <c r="R10">
        <f>_xlfn.XLOOKUP($P10,localities!$B$2:$B$49,localities!$D$2:$D$49,"NA")</f>
        <v>1</v>
      </c>
      <c r="S10">
        <f>_xlfn.XLOOKUP($P10,localities!$B$2:$B$49,localities!$E$2:$E$49,"NA")</f>
        <v>63.789260900000002</v>
      </c>
      <c r="T10">
        <f>_xlfn.XLOOKUP($P10,localities!$B$2:$B$49,localities!$F$2:$F$49,"NA")</f>
        <v>10.0251734</v>
      </c>
      <c r="U10" t="str">
        <f>_xlfn.XLOOKUP($P10,localities!$B$2:$B$49,localities!$G$2:$G$49,"NA")</f>
        <v>WGS84</v>
      </c>
      <c r="V10">
        <f>_xlfn.XLOOKUP($P10,localities!$B$2:$B$49,localities!$H$2:$H$49,"NA")</f>
        <v>5</v>
      </c>
      <c r="W10" t="str">
        <f>_xlfn.XLOOKUP($P10,localities!$B$2:$B$49,localities!$I$2:$I$49,"NA")</f>
        <v>NOR</v>
      </c>
      <c r="X10" t="str">
        <f>_xlfn.XLOOKUP($P10,localities!$B$2:$B$49,localities!$J$2:$J$49,"NA")</f>
        <v>Norway</v>
      </c>
      <c r="Y10" t="str">
        <f>_xlfn.XLOOKUP($P10,localities!$B$2:$B$49,localities!$K$2:$K$49,"NA")</f>
        <v>Sør-Trøndelag</v>
      </c>
      <c r="Z10" t="str">
        <f>_xlfn.XLOOKUP($P10,localities!$B$2:$B$49,localities!$L$2:$L$49,"NA")</f>
        <v>Indre Fosen</v>
      </c>
    </row>
    <row r="11" spans="1:26" x14ac:dyDescent="0.3">
      <c r="B11" t="s">
        <v>78</v>
      </c>
      <c r="C11" s="23">
        <v>5</v>
      </c>
      <c r="E11" t="s">
        <v>39</v>
      </c>
      <c r="F11" s="19">
        <f>_xlfn.XLOOKUP($E11,parent_events!$B$2:$B$56,parent_events!$C$2:$C$56,"NA")</f>
        <v>45053</v>
      </c>
      <c r="G11">
        <f>_xlfn.XLOOKUP($E11,parent_events!$B$2:$B$56,parent_events!$D$2:$D$56,"NA")</f>
        <v>2023</v>
      </c>
      <c r="H11">
        <f>_xlfn.XLOOKUP($E11,parent_events!$B$2:$B$56,parent_events!$E$2:$E$56,"NA")</f>
        <v>5</v>
      </c>
      <c r="I11">
        <f>_xlfn.XLOOKUP($E11,parent_events!$B$2:$B$56,parent_events!$F$2:$F$56,"NA")</f>
        <v>7</v>
      </c>
      <c r="J11">
        <f>_xlfn.XLOOKUP($E11,parent_events!$B$2:$B$56,parent_events!$G$2:$G$56,"NA")</f>
        <v>1</v>
      </c>
      <c r="K11" t="str">
        <f>_xlfn.XLOOKUP($E11,parent_events!$B$2:$B$56,parent_events!$H$2:$H$56,"NA")</f>
        <v>Rot (1 min)</v>
      </c>
      <c r="L11" t="str">
        <f>_xlfn.XLOOKUP($E11,parent_events!$B$2:$B$56,parent_events!$I$2:$I$56,"NA")</f>
        <v>"5 replicates of 1 minute kick samples"</v>
      </c>
      <c r="M11">
        <f>_xlfn.XLOOKUP($E11,parent_events!$B$2:$B$56,parent_events!$J$2:$J$56,"NA")</f>
        <v>1</v>
      </c>
      <c r="N11" s="23" t="str">
        <f>_xlfn.XLOOKUP($E11,parent_events!$B$2:$B$56,parent_events!$K$2:$K$56,"NA")</f>
        <v>decimalMinute</v>
      </c>
      <c r="P11" t="str">
        <f>_xlfn.XLOOKUP($E11,parent_events!$B$2:$B$56,parent_events!$L$2:$L$56,"NA")</f>
        <v>Gjoljavatnet_st1</v>
      </c>
      <c r="Q11" t="str">
        <f>_xlfn.XLOOKUP($P11,localities!$B$2:$B$49,localities!$C$2:$C$49,"NA")</f>
        <v>Gjøljavatnet</v>
      </c>
      <c r="R11">
        <f>_xlfn.XLOOKUP($P11,localities!$B$2:$B$49,localities!$D$2:$D$49,"NA")</f>
        <v>1</v>
      </c>
      <c r="S11">
        <f>_xlfn.XLOOKUP($P11,localities!$B$2:$B$49,localities!$E$2:$E$49,"NA")</f>
        <v>63.789260900000002</v>
      </c>
      <c r="T11">
        <f>_xlfn.XLOOKUP($P11,localities!$B$2:$B$49,localities!$F$2:$F$49,"NA")</f>
        <v>10.0251734</v>
      </c>
      <c r="U11" t="str">
        <f>_xlfn.XLOOKUP($P11,localities!$B$2:$B$49,localities!$G$2:$G$49,"NA")</f>
        <v>WGS84</v>
      </c>
      <c r="V11">
        <f>_xlfn.XLOOKUP($P11,localities!$B$2:$B$49,localities!$H$2:$H$49,"NA")</f>
        <v>5</v>
      </c>
      <c r="W11" t="str">
        <f>_xlfn.XLOOKUP($P11,localities!$B$2:$B$49,localities!$I$2:$I$49,"NA")</f>
        <v>NOR</v>
      </c>
      <c r="X11" t="str">
        <f>_xlfn.XLOOKUP($P11,localities!$B$2:$B$49,localities!$J$2:$J$49,"NA")</f>
        <v>Norway</v>
      </c>
      <c r="Y11" t="str">
        <f>_xlfn.XLOOKUP($P11,localities!$B$2:$B$49,localities!$K$2:$K$49,"NA")</f>
        <v>Sør-Trøndelag</v>
      </c>
      <c r="Z11" t="str">
        <f>_xlfn.XLOOKUP($P11,localities!$B$2:$B$49,localities!$L$2:$L$49,"NA")</f>
        <v>Indre Fosen</v>
      </c>
    </row>
    <row r="12" spans="1:26" x14ac:dyDescent="0.3">
      <c r="B12" t="s">
        <v>79</v>
      </c>
      <c r="C12" s="23">
        <v>1</v>
      </c>
      <c r="E12" t="s">
        <v>40</v>
      </c>
      <c r="F12" s="19">
        <f>_xlfn.XLOOKUP($E12,parent_events!$B$2:$B$56,parent_events!$C$2:$C$56,"NA")</f>
        <v>45053</v>
      </c>
      <c r="G12">
        <f>_xlfn.XLOOKUP($E12,parent_events!$B$2:$B$56,parent_events!$D$2:$D$56,"NA")</f>
        <v>2023</v>
      </c>
      <c r="H12">
        <f>_xlfn.XLOOKUP($E12,parent_events!$B$2:$B$56,parent_events!$E$2:$E$56,"NA")</f>
        <v>5</v>
      </c>
      <c r="I12">
        <f>_xlfn.XLOOKUP($E12,parent_events!$B$2:$B$56,parent_events!$F$2:$F$56,"NA")</f>
        <v>7</v>
      </c>
      <c r="J12">
        <f>_xlfn.XLOOKUP($E12,parent_events!$B$2:$B$56,parent_events!$G$2:$G$56,"NA")</f>
        <v>1</v>
      </c>
      <c r="K12" t="str">
        <f>_xlfn.XLOOKUP($E12,parent_events!$B$2:$B$56,parent_events!$H$2:$H$56,"NA")</f>
        <v>Rot (1 min)</v>
      </c>
      <c r="L12" t="str">
        <f>_xlfn.XLOOKUP($E12,parent_events!$B$2:$B$56,parent_events!$I$2:$I$56,"NA")</f>
        <v>"5 replicates of 1 minute kick samples"</v>
      </c>
      <c r="M12">
        <f>_xlfn.XLOOKUP($E12,parent_events!$B$2:$B$56,parent_events!$J$2:$J$56,"NA")</f>
        <v>1</v>
      </c>
      <c r="N12" s="23" t="str">
        <f>_xlfn.XLOOKUP($E12,parent_events!$B$2:$B$56,parent_events!$K$2:$K$56,"NA")</f>
        <v>decimalMinute</v>
      </c>
      <c r="P12" t="str">
        <f>_xlfn.XLOOKUP($E12,parent_events!$B$2:$B$56,parent_events!$L$2:$L$56,"NA")</f>
        <v>Storvatnet_st1</v>
      </c>
      <c r="Q12" t="str">
        <f>_xlfn.XLOOKUP($P12,localities!$B$2:$B$49,localities!$C$2:$C$49,"NA")</f>
        <v>Storvatnet</v>
      </c>
      <c r="R12">
        <f>_xlfn.XLOOKUP($P12,localities!$B$2:$B$49,localities!$D$2:$D$49,"NA")</f>
        <v>1</v>
      </c>
      <c r="S12">
        <f>_xlfn.XLOOKUP($P12,localities!$B$2:$B$49,localities!$E$2:$E$49,"NA")</f>
        <v>63.621177600000003</v>
      </c>
      <c r="T12">
        <f>_xlfn.XLOOKUP($P12,localities!$B$2:$B$49,localities!$F$2:$F$49,"NA")</f>
        <v>10.2333759</v>
      </c>
      <c r="U12" t="str">
        <f>_xlfn.XLOOKUP($P12,localities!$B$2:$B$49,localities!$G$2:$G$49,"NA")</f>
        <v>WGS84</v>
      </c>
      <c r="V12">
        <f>_xlfn.XLOOKUP($P12,localities!$B$2:$B$49,localities!$H$2:$H$49,"NA")</f>
        <v>5</v>
      </c>
      <c r="W12" t="str">
        <f>_xlfn.XLOOKUP($P12,localities!$B$2:$B$49,localities!$I$2:$I$49,"NA")</f>
        <v>NOR</v>
      </c>
      <c r="X12" t="str">
        <f>_xlfn.XLOOKUP($P12,localities!$B$2:$B$49,localities!$J$2:$J$49,"NA")</f>
        <v>Norway</v>
      </c>
      <c r="Y12" t="str">
        <f>_xlfn.XLOOKUP($P12,localities!$B$2:$B$49,localities!$K$2:$K$49,"NA")</f>
        <v>Nord-Trøndelag</v>
      </c>
      <c r="Z12" t="str">
        <f>_xlfn.XLOOKUP($P12,localities!$B$2:$B$49,localities!$L$2:$L$49,"NA")</f>
        <v>Indre Fosen</v>
      </c>
    </row>
    <row r="13" spans="1:26" x14ac:dyDescent="0.3">
      <c r="B13" t="s">
        <v>80</v>
      </c>
      <c r="C13" s="23">
        <v>2</v>
      </c>
      <c r="E13" t="s">
        <v>40</v>
      </c>
      <c r="F13" s="19">
        <f>_xlfn.XLOOKUP($E13,parent_events!$B$2:$B$56,parent_events!$C$2:$C$56,"NA")</f>
        <v>45053</v>
      </c>
      <c r="G13">
        <f>_xlfn.XLOOKUP($E13,parent_events!$B$2:$B$56,parent_events!$D$2:$D$56,"NA")</f>
        <v>2023</v>
      </c>
      <c r="H13">
        <f>_xlfn.XLOOKUP($E13,parent_events!$B$2:$B$56,parent_events!$E$2:$E$56,"NA")</f>
        <v>5</v>
      </c>
      <c r="I13">
        <f>_xlfn.XLOOKUP($E13,parent_events!$B$2:$B$56,parent_events!$F$2:$F$56,"NA")</f>
        <v>7</v>
      </c>
      <c r="J13">
        <f>_xlfn.XLOOKUP($E13,parent_events!$B$2:$B$56,parent_events!$G$2:$G$56,"NA")</f>
        <v>1</v>
      </c>
      <c r="K13" t="str">
        <f>_xlfn.XLOOKUP($E13,parent_events!$B$2:$B$56,parent_events!$H$2:$H$56,"NA")</f>
        <v>Rot (1 min)</v>
      </c>
      <c r="L13" t="str">
        <f>_xlfn.XLOOKUP($E13,parent_events!$B$2:$B$56,parent_events!$I$2:$I$56,"NA")</f>
        <v>"5 replicates of 1 minute kick samples"</v>
      </c>
      <c r="M13">
        <f>_xlfn.XLOOKUP($E13,parent_events!$B$2:$B$56,parent_events!$J$2:$J$56,"NA")</f>
        <v>1</v>
      </c>
      <c r="N13" s="23" t="str">
        <f>_xlfn.XLOOKUP($E13,parent_events!$B$2:$B$56,parent_events!$K$2:$K$56,"NA")</f>
        <v>decimalMinute</v>
      </c>
      <c r="P13" t="str">
        <f>_xlfn.XLOOKUP($E13,parent_events!$B$2:$B$56,parent_events!$L$2:$L$56,"NA")</f>
        <v>Storvatnet_st1</v>
      </c>
      <c r="Q13" t="str">
        <f>_xlfn.XLOOKUP($P13,localities!$B$2:$B$49,localities!$C$2:$C$49,"NA")</f>
        <v>Storvatnet</v>
      </c>
      <c r="R13">
        <f>_xlfn.XLOOKUP($P13,localities!$B$2:$B$49,localities!$D$2:$D$49,"NA")</f>
        <v>1</v>
      </c>
      <c r="S13">
        <f>_xlfn.XLOOKUP($P13,localities!$B$2:$B$49,localities!$E$2:$E$49,"NA")</f>
        <v>63.621177600000003</v>
      </c>
      <c r="T13">
        <f>_xlfn.XLOOKUP($P13,localities!$B$2:$B$49,localities!$F$2:$F$49,"NA")</f>
        <v>10.2333759</v>
      </c>
      <c r="U13" t="str">
        <f>_xlfn.XLOOKUP($P13,localities!$B$2:$B$49,localities!$G$2:$G$49,"NA")</f>
        <v>WGS84</v>
      </c>
      <c r="V13">
        <f>_xlfn.XLOOKUP($P13,localities!$B$2:$B$49,localities!$H$2:$H$49,"NA")</f>
        <v>5</v>
      </c>
      <c r="W13" t="str">
        <f>_xlfn.XLOOKUP($P13,localities!$B$2:$B$49,localities!$I$2:$I$49,"NA")</f>
        <v>NOR</v>
      </c>
      <c r="X13" t="str">
        <f>_xlfn.XLOOKUP($P13,localities!$B$2:$B$49,localities!$J$2:$J$49,"NA")</f>
        <v>Norway</v>
      </c>
      <c r="Y13" t="str">
        <f>_xlfn.XLOOKUP($P13,localities!$B$2:$B$49,localities!$K$2:$K$49,"NA")</f>
        <v>Nord-Trøndelag</v>
      </c>
      <c r="Z13" t="str">
        <f>_xlfn.XLOOKUP($P13,localities!$B$2:$B$49,localities!$L$2:$L$49,"NA")</f>
        <v>Indre Fosen</v>
      </c>
    </row>
    <row r="14" spans="1:26" x14ac:dyDescent="0.3">
      <c r="B14" t="s">
        <v>81</v>
      </c>
      <c r="C14" s="23">
        <v>3</v>
      </c>
      <c r="E14" t="s">
        <v>40</v>
      </c>
      <c r="F14" s="19">
        <f>_xlfn.XLOOKUP($E14,parent_events!$B$2:$B$56,parent_events!$C$2:$C$56,"NA")</f>
        <v>45053</v>
      </c>
      <c r="G14">
        <f>_xlfn.XLOOKUP($E14,parent_events!$B$2:$B$56,parent_events!$D$2:$D$56,"NA")</f>
        <v>2023</v>
      </c>
      <c r="H14">
        <f>_xlfn.XLOOKUP($E14,parent_events!$B$2:$B$56,parent_events!$E$2:$E$56,"NA")</f>
        <v>5</v>
      </c>
      <c r="I14">
        <f>_xlfn.XLOOKUP($E14,parent_events!$B$2:$B$56,parent_events!$F$2:$F$56,"NA")</f>
        <v>7</v>
      </c>
      <c r="J14">
        <f>_xlfn.XLOOKUP($E14,parent_events!$B$2:$B$56,parent_events!$G$2:$G$56,"NA")</f>
        <v>1</v>
      </c>
      <c r="K14" t="str">
        <f>_xlfn.XLOOKUP($E14,parent_events!$B$2:$B$56,parent_events!$H$2:$H$56,"NA")</f>
        <v>Rot (1 min)</v>
      </c>
      <c r="L14" t="str">
        <f>_xlfn.XLOOKUP($E14,parent_events!$B$2:$B$56,parent_events!$I$2:$I$56,"NA")</f>
        <v>"5 replicates of 1 minute kick samples"</v>
      </c>
      <c r="M14">
        <f>_xlfn.XLOOKUP($E14,parent_events!$B$2:$B$56,parent_events!$J$2:$J$56,"NA")</f>
        <v>1</v>
      </c>
      <c r="N14" s="23" t="str">
        <f>_xlfn.XLOOKUP($E14,parent_events!$B$2:$B$56,parent_events!$K$2:$K$56,"NA")</f>
        <v>decimalMinute</v>
      </c>
      <c r="P14" t="str">
        <f>_xlfn.XLOOKUP($E14,parent_events!$B$2:$B$56,parent_events!$L$2:$L$56,"NA")</f>
        <v>Storvatnet_st1</v>
      </c>
      <c r="Q14" t="str">
        <f>_xlfn.XLOOKUP($P14,localities!$B$2:$B$49,localities!$C$2:$C$49,"NA")</f>
        <v>Storvatnet</v>
      </c>
      <c r="R14">
        <f>_xlfn.XLOOKUP($P14,localities!$B$2:$B$49,localities!$D$2:$D$49,"NA")</f>
        <v>1</v>
      </c>
      <c r="S14">
        <f>_xlfn.XLOOKUP($P14,localities!$B$2:$B$49,localities!$E$2:$E$49,"NA")</f>
        <v>63.621177600000003</v>
      </c>
      <c r="T14">
        <f>_xlfn.XLOOKUP($P14,localities!$B$2:$B$49,localities!$F$2:$F$49,"NA")</f>
        <v>10.2333759</v>
      </c>
      <c r="U14" t="str">
        <f>_xlfn.XLOOKUP($P14,localities!$B$2:$B$49,localities!$G$2:$G$49,"NA")</f>
        <v>WGS84</v>
      </c>
      <c r="V14">
        <f>_xlfn.XLOOKUP($P14,localities!$B$2:$B$49,localities!$H$2:$H$49,"NA")</f>
        <v>5</v>
      </c>
      <c r="W14" t="str">
        <f>_xlfn.XLOOKUP($P14,localities!$B$2:$B$49,localities!$I$2:$I$49,"NA")</f>
        <v>NOR</v>
      </c>
      <c r="X14" t="str">
        <f>_xlfn.XLOOKUP($P14,localities!$B$2:$B$49,localities!$J$2:$J$49,"NA")</f>
        <v>Norway</v>
      </c>
      <c r="Y14" t="str">
        <f>_xlfn.XLOOKUP($P14,localities!$B$2:$B$49,localities!$K$2:$K$49,"NA")</f>
        <v>Nord-Trøndelag</v>
      </c>
      <c r="Z14" t="str">
        <f>_xlfn.XLOOKUP($P14,localities!$B$2:$B$49,localities!$L$2:$L$49,"NA")</f>
        <v>Indre Fosen</v>
      </c>
    </row>
    <row r="15" spans="1:26" x14ac:dyDescent="0.3">
      <c r="B15" t="s">
        <v>82</v>
      </c>
      <c r="C15" s="23">
        <v>4</v>
      </c>
      <c r="E15" t="s">
        <v>40</v>
      </c>
      <c r="F15" s="19">
        <f>_xlfn.XLOOKUP($E15,parent_events!$B$2:$B$56,parent_events!$C$2:$C$56,"NA")</f>
        <v>45053</v>
      </c>
      <c r="G15">
        <f>_xlfn.XLOOKUP($E15,parent_events!$B$2:$B$56,parent_events!$D$2:$D$56,"NA")</f>
        <v>2023</v>
      </c>
      <c r="H15">
        <f>_xlfn.XLOOKUP($E15,parent_events!$B$2:$B$56,parent_events!$E$2:$E$56,"NA")</f>
        <v>5</v>
      </c>
      <c r="I15">
        <f>_xlfn.XLOOKUP($E15,parent_events!$B$2:$B$56,parent_events!$F$2:$F$56,"NA")</f>
        <v>7</v>
      </c>
      <c r="J15">
        <f>_xlfn.XLOOKUP($E15,parent_events!$B$2:$B$56,parent_events!$G$2:$G$56,"NA")</f>
        <v>1</v>
      </c>
      <c r="K15" t="str">
        <f>_xlfn.XLOOKUP($E15,parent_events!$B$2:$B$56,parent_events!$H$2:$H$56,"NA")</f>
        <v>Rot (1 min)</v>
      </c>
      <c r="L15" t="str">
        <f>_xlfn.XLOOKUP($E15,parent_events!$B$2:$B$56,parent_events!$I$2:$I$56,"NA")</f>
        <v>"5 replicates of 1 minute kick samples"</v>
      </c>
      <c r="M15">
        <f>_xlfn.XLOOKUP($E15,parent_events!$B$2:$B$56,parent_events!$J$2:$J$56,"NA")</f>
        <v>1</v>
      </c>
      <c r="N15" s="23" t="str">
        <f>_xlfn.XLOOKUP($E15,parent_events!$B$2:$B$56,parent_events!$K$2:$K$56,"NA")</f>
        <v>decimalMinute</v>
      </c>
      <c r="P15" t="str">
        <f>_xlfn.XLOOKUP($E15,parent_events!$B$2:$B$56,parent_events!$L$2:$L$56,"NA")</f>
        <v>Storvatnet_st1</v>
      </c>
      <c r="Q15" t="str">
        <f>_xlfn.XLOOKUP($P15,localities!$B$2:$B$49,localities!$C$2:$C$49,"NA")</f>
        <v>Storvatnet</v>
      </c>
      <c r="R15">
        <f>_xlfn.XLOOKUP($P15,localities!$B$2:$B$49,localities!$D$2:$D$49,"NA")</f>
        <v>1</v>
      </c>
      <c r="S15">
        <f>_xlfn.XLOOKUP($P15,localities!$B$2:$B$49,localities!$E$2:$E$49,"NA")</f>
        <v>63.621177600000003</v>
      </c>
      <c r="T15">
        <f>_xlfn.XLOOKUP($P15,localities!$B$2:$B$49,localities!$F$2:$F$49,"NA")</f>
        <v>10.2333759</v>
      </c>
      <c r="U15" t="str">
        <f>_xlfn.XLOOKUP($P15,localities!$B$2:$B$49,localities!$G$2:$G$49,"NA")</f>
        <v>WGS84</v>
      </c>
      <c r="V15">
        <f>_xlfn.XLOOKUP($P15,localities!$B$2:$B$49,localities!$H$2:$H$49,"NA")</f>
        <v>5</v>
      </c>
      <c r="W15" t="str">
        <f>_xlfn.XLOOKUP($P15,localities!$B$2:$B$49,localities!$I$2:$I$49,"NA")</f>
        <v>NOR</v>
      </c>
      <c r="X15" t="str">
        <f>_xlfn.XLOOKUP($P15,localities!$B$2:$B$49,localities!$J$2:$J$49,"NA")</f>
        <v>Norway</v>
      </c>
      <c r="Y15" t="str">
        <f>_xlfn.XLOOKUP($P15,localities!$B$2:$B$49,localities!$K$2:$K$49,"NA")</f>
        <v>Nord-Trøndelag</v>
      </c>
      <c r="Z15" t="str">
        <f>_xlfn.XLOOKUP($P15,localities!$B$2:$B$49,localities!$L$2:$L$49,"NA")</f>
        <v>Indre Fosen</v>
      </c>
    </row>
    <row r="16" spans="1:26" x14ac:dyDescent="0.3">
      <c r="B16" t="s">
        <v>83</v>
      </c>
      <c r="C16" s="23">
        <v>5</v>
      </c>
      <c r="E16" t="s">
        <v>40</v>
      </c>
      <c r="F16" s="19">
        <f>_xlfn.XLOOKUP($E16,parent_events!$B$2:$B$56,parent_events!$C$2:$C$56,"NA")</f>
        <v>45053</v>
      </c>
      <c r="G16">
        <f>_xlfn.XLOOKUP($E16,parent_events!$B$2:$B$56,parent_events!$D$2:$D$56,"NA")</f>
        <v>2023</v>
      </c>
      <c r="H16">
        <f>_xlfn.XLOOKUP($E16,parent_events!$B$2:$B$56,parent_events!$E$2:$E$56,"NA")</f>
        <v>5</v>
      </c>
      <c r="I16">
        <f>_xlfn.XLOOKUP($E16,parent_events!$B$2:$B$56,parent_events!$F$2:$F$56,"NA")</f>
        <v>7</v>
      </c>
      <c r="J16">
        <f>_xlfn.XLOOKUP($E16,parent_events!$B$2:$B$56,parent_events!$G$2:$G$56,"NA")</f>
        <v>1</v>
      </c>
      <c r="K16" t="str">
        <f>_xlfn.XLOOKUP($E16,parent_events!$B$2:$B$56,parent_events!$H$2:$H$56,"NA")</f>
        <v>Rot (1 min)</v>
      </c>
      <c r="L16" t="str">
        <f>_xlfn.XLOOKUP($E16,parent_events!$B$2:$B$56,parent_events!$I$2:$I$56,"NA")</f>
        <v>"5 replicates of 1 minute kick samples"</v>
      </c>
      <c r="M16">
        <f>_xlfn.XLOOKUP($E16,parent_events!$B$2:$B$56,parent_events!$J$2:$J$56,"NA")</f>
        <v>1</v>
      </c>
      <c r="N16" s="23" t="str">
        <f>_xlfn.XLOOKUP($E16,parent_events!$B$2:$B$56,parent_events!$K$2:$K$56,"NA")</f>
        <v>decimalMinute</v>
      </c>
      <c r="P16" t="str">
        <f>_xlfn.XLOOKUP($E16,parent_events!$B$2:$B$56,parent_events!$L$2:$L$56,"NA")</f>
        <v>Storvatnet_st1</v>
      </c>
      <c r="Q16" t="str">
        <f>_xlfn.XLOOKUP($P16,localities!$B$2:$B$49,localities!$C$2:$C$49,"NA")</f>
        <v>Storvatnet</v>
      </c>
      <c r="R16">
        <f>_xlfn.XLOOKUP($P16,localities!$B$2:$B$49,localities!$D$2:$D$49,"NA")</f>
        <v>1</v>
      </c>
      <c r="S16">
        <f>_xlfn.XLOOKUP($P16,localities!$B$2:$B$49,localities!$E$2:$E$49,"NA")</f>
        <v>63.621177600000003</v>
      </c>
      <c r="T16">
        <f>_xlfn.XLOOKUP($P16,localities!$B$2:$B$49,localities!$F$2:$F$49,"NA")</f>
        <v>10.2333759</v>
      </c>
      <c r="U16" t="str">
        <f>_xlfn.XLOOKUP($P16,localities!$B$2:$B$49,localities!$G$2:$G$49,"NA")</f>
        <v>WGS84</v>
      </c>
      <c r="V16">
        <f>_xlfn.XLOOKUP($P16,localities!$B$2:$B$49,localities!$H$2:$H$49,"NA")</f>
        <v>5</v>
      </c>
      <c r="W16" t="str">
        <f>_xlfn.XLOOKUP($P16,localities!$B$2:$B$49,localities!$I$2:$I$49,"NA")</f>
        <v>NOR</v>
      </c>
      <c r="X16" t="str">
        <f>_xlfn.XLOOKUP($P16,localities!$B$2:$B$49,localities!$J$2:$J$49,"NA")</f>
        <v>Norway</v>
      </c>
      <c r="Y16" t="str">
        <f>_xlfn.XLOOKUP($P16,localities!$B$2:$B$49,localities!$K$2:$K$49,"NA")</f>
        <v>Nord-Trøndelag</v>
      </c>
      <c r="Z16" t="str">
        <f>_xlfn.XLOOKUP($P16,localities!$B$2:$B$49,localities!$L$2:$L$49,"NA")</f>
        <v>Indre Fosen</v>
      </c>
    </row>
    <row r="17" spans="2:26" x14ac:dyDescent="0.3">
      <c r="B17" t="s">
        <v>351</v>
      </c>
      <c r="C17" s="23">
        <v>1</v>
      </c>
      <c r="E17" t="s">
        <v>352</v>
      </c>
      <c r="F17" s="19">
        <f>_xlfn.XLOOKUP($E17,parent_events!$B$2:$B$56,parent_events!$C$2:$C$56,"NA")</f>
        <v>45053</v>
      </c>
      <c r="G17">
        <f>_xlfn.XLOOKUP($E17,parent_events!$B$2:$B$56,parent_events!$D$2:$D$56,"NA")</f>
        <v>2023</v>
      </c>
      <c r="H17">
        <f>_xlfn.XLOOKUP($E17,parent_events!$B$2:$B$56,parent_events!$E$2:$E$56,"NA")</f>
        <v>5</v>
      </c>
      <c r="I17">
        <f>_xlfn.XLOOKUP($E17,parent_events!$B$2:$B$56,parent_events!$F$2:$F$56,"NA")</f>
        <v>7</v>
      </c>
      <c r="J17">
        <f>_xlfn.XLOOKUP($E17,parent_events!$B$2:$B$56,parent_events!$G$2:$G$56,"NA")</f>
        <v>1</v>
      </c>
      <c r="K17">
        <f>_xlfn.XLOOKUP($E17,parent_events!$B$2:$B$56,parent_events!$H$2:$H$56,"NA")</f>
        <v>0</v>
      </c>
      <c r="L17">
        <f>_xlfn.XLOOKUP($E17,parent_events!$B$2:$B$56,parent_events!$I$2:$I$56,"NA")</f>
        <v>0</v>
      </c>
      <c r="M17">
        <f>_xlfn.XLOOKUP($E17,parent_events!$B$2:$B$56,parent_events!$J$2:$J$56,"NA")</f>
        <v>0</v>
      </c>
      <c r="N17" s="23">
        <f>_xlfn.XLOOKUP($E17,parent_events!$B$2:$B$56,parent_events!$K$2:$K$56,"NA")</f>
        <v>0</v>
      </c>
      <c r="P17" t="str">
        <f>_xlfn.XLOOKUP($E17,parent_events!$B$2:$B$56,parent_events!$L$2:$L$56,"NA")</f>
        <v>Roksetvatnet_st1</v>
      </c>
      <c r="Q17" t="str">
        <f>_xlfn.XLOOKUP($P17,localities!$B$2:$B$49,localities!$C$2:$C$49,"NA")</f>
        <v>Roksetvatnet</v>
      </c>
      <c r="R17">
        <f>_xlfn.XLOOKUP($P17,localities!$B$2:$B$49,localities!$D$2:$D$49,"NA")</f>
        <v>1</v>
      </c>
      <c r="S17">
        <f>_xlfn.XLOOKUP($P17,localities!$B$2:$B$49,localities!$E$2:$E$49,"NA")</f>
        <v>63.654024200000002</v>
      </c>
      <c r="T17">
        <f>_xlfn.XLOOKUP($P17,localities!$B$2:$B$49,localities!$F$2:$F$49,"NA")</f>
        <v>10.066431400000001</v>
      </c>
      <c r="U17" t="str">
        <f>_xlfn.XLOOKUP($P17,localities!$B$2:$B$49,localities!$G$2:$G$49,"NA")</f>
        <v>WGS84</v>
      </c>
      <c r="V17">
        <f>_xlfn.XLOOKUP($P17,localities!$B$2:$B$49,localities!$H$2:$H$49,"NA")</f>
        <v>5</v>
      </c>
      <c r="W17" t="str">
        <f>_xlfn.XLOOKUP($P17,localities!$B$2:$B$49,localities!$I$2:$I$49,"NA")</f>
        <v>NOR</v>
      </c>
      <c r="X17" t="str">
        <f>_xlfn.XLOOKUP($P17,localities!$B$2:$B$49,localities!$J$2:$J$49,"NA")</f>
        <v>Norway</v>
      </c>
      <c r="Y17" t="str">
        <f>_xlfn.XLOOKUP($P17,localities!$B$2:$B$49,localities!$K$2:$K$49,"NA")</f>
        <v>Sør-Trøndelag</v>
      </c>
      <c r="Z17" t="str">
        <f>_xlfn.XLOOKUP($P17,localities!$B$2:$B$49,localities!$L$2:$L$49,"NA")</f>
        <v>Indre Fosen</v>
      </c>
    </row>
    <row r="18" spans="2:26" x14ac:dyDescent="0.3">
      <c r="B18" t="s">
        <v>84</v>
      </c>
      <c r="C18" s="23">
        <v>1</v>
      </c>
      <c r="E18" t="s">
        <v>41</v>
      </c>
      <c r="F18" s="19">
        <f>_xlfn.XLOOKUP($E18,parent_events!$B$2:$B$56,parent_events!$C$2:$C$56,"NA")</f>
        <v>45057</v>
      </c>
      <c r="G18">
        <f>_xlfn.XLOOKUP($E18,parent_events!$B$2:$B$56,parent_events!$D$2:$D$56,"NA")</f>
        <v>2023</v>
      </c>
      <c r="H18">
        <f>_xlfn.XLOOKUP($E18,parent_events!$B$2:$B$56,parent_events!$E$2:$E$56,"NA")</f>
        <v>5</v>
      </c>
      <c r="I18">
        <f>_xlfn.XLOOKUP($E18,parent_events!$B$2:$B$56,parent_events!$F$2:$F$56,"NA")</f>
        <v>11</v>
      </c>
      <c r="J18">
        <f>_xlfn.XLOOKUP($E18,parent_events!$B$2:$B$56,parent_events!$G$2:$G$56,"NA")</f>
        <v>1</v>
      </c>
      <c r="K18" t="str">
        <f>_xlfn.XLOOKUP($E18,parent_events!$B$2:$B$56,parent_events!$H$2:$H$56,"NA")</f>
        <v>Rot (1 min)</v>
      </c>
      <c r="L18" t="str">
        <f>_xlfn.XLOOKUP($E18,parent_events!$B$2:$B$56,parent_events!$I$2:$I$56,"NA")</f>
        <v>"5 replicates of 1 minute kick samples"</v>
      </c>
      <c r="M18">
        <f>_xlfn.XLOOKUP($E18,parent_events!$B$2:$B$56,parent_events!$J$2:$J$56,"NA")</f>
        <v>1</v>
      </c>
      <c r="N18" s="23" t="str">
        <f>_xlfn.XLOOKUP($E18,parent_events!$B$2:$B$56,parent_events!$K$2:$K$56,"NA")</f>
        <v>decimalMinute</v>
      </c>
      <c r="P18" t="str">
        <f>_xlfn.XLOOKUP($E18,parent_events!$B$2:$B$56,parent_events!$L$2:$L$56,"NA")</f>
        <v>Kilvatnet_st1</v>
      </c>
      <c r="Q18" t="str">
        <f>_xlfn.XLOOKUP($P18,localities!$B$2:$B$49,localities!$C$2:$C$49,"NA")</f>
        <v>Kilvatnet</v>
      </c>
      <c r="R18">
        <f>_xlfn.XLOOKUP($P18,localities!$B$2:$B$49,localities!$D$2:$D$49,"NA")</f>
        <v>1</v>
      </c>
      <c r="S18">
        <f>_xlfn.XLOOKUP($P18,localities!$B$2:$B$49,localities!$E$2:$E$49,"NA")</f>
        <v>63.3447909</v>
      </c>
      <c r="T18">
        <f>_xlfn.XLOOKUP($P18,localities!$B$2:$B$49,localities!$F$2:$F$49,"NA")</f>
        <v>10.5500174</v>
      </c>
      <c r="U18" t="str">
        <f>_xlfn.XLOOKUP($P18,localities!$B$2:$B$49,localities!$G$2:$G$49,"NA")</f>
        <v>WGS84</v>
      </c>
      <c r="V18">
        <f>_xlfn.XLOOKUP($P18,localities!$B$2:$B$49,localities!$H$2:$H$49,"NA")</f>
        <v>5</v>
      </c>
      <c r="W18" t="str">
        <f>_xlfn.XLOOKUP($P18,localities!$B$2:$B$49,localities!$I$2:$I$49,"NA")</f>
        <v>NOR</v>
      </c>
      <c r="X18" t="str">
        <f>_xlfn.XLOOKUP($P18,localities!$B$2:$B$49,localities!$J$2:$J$49,"NA")</f>
        <v>Norway</v>
      </c>
      <c r="Y18" t="str">
        <f>_xlfn.XLOOKUP($P18,localities!$B$2:$B$49,localities!$K$2:$K$49,"NA")</f>
        <v>Sør-Trøndelag</v>
      </c>
      <c r="Z18" t="str">
        <f>_xlfn.XLOOKUP($P18,localities!$B$2:$B$49,localities!$L$2:$L$49,"NA")</f>
        <v>Trondheim</v>
      </c>
    </row>
    <row r="19" spans="2:26" x14ac:dyDescent="0.3">
      <c r="B19" t="s">
        <v>85</v>
      </c>
      <c r="C19" s="23">
        <v>2</v>
      </c>
      <c r="E19" t="s">
        <v>41</v>
      </c>
      <c r="F19" s="19">
        <f>_xlfn.XLOOKUP($E19,parent_events!$B$2:$B$56,parent_events!$C$2:$C$56,"NA")</f>
        <v>45057</v>
      </c>
      <c r="G19">
        <f>_xlfn.XLOOKUP($E19,parent_events!$B$2:$B$56,parent_events!$D$2:$D$56,"NA")</f>
        <v>2023</v>
      </c>
      <c r="H19">
        <f>_xlfn.XLOOKUP($E19,parent_events!$B$2:$B$56,parent_events!$E$2:$E$56,"NA")</f>
        <v>5</v>
      </c>
      <c r="I19">
        <f>_xlfn.XLOOKUP($E19,parent_events!$B$2:$B$56,parent_events!$F$2:$F$56,"NA")</f>
        <v>11</v>
      </c>
      <c r="J19">
        <f>_xlfn.XLOOKUP($E19,parent_events!$B$2:$B$56,parent_events!$G$2:$G$56,"NA")</f>
        <v>1</v>
      </c>
      <c r="K19" t="str">
        <f>_xlfn.XLOOKUP($E19,parent_events!$B$2:$B$56,parent_events!$H$2:$H$56,"NA")</f>
        <v>Rot (1 min)</v>
      </c>
      <c r="L19" t="str">
        <f>_xlfn.XLOOKUP($E19,parent_events!$B$2:$B$56,parent_events!$I$2:$I$56,"NA")</f>
        <v>"5 replicates of 1 minute kick samples"</v>
      </c>
      <c r="M19">
        <f>_xlfn.XLOOKUP($E19,parent_events!$B$2:$B$56,parent_events!$J$2:$J$56,"NA")</f>
        <v>1</v>
      </c>
      <c r="N19" s="23" t="str">
        <f>_xlfn.XLOOKUP($E19,parent_events!$B$2:$B$56,parent_events!$K$2:$K$56,"NA")</f>
        <v>decimalMinute</v>
      </c>
      <c r="P19" t="str">
        <f>_xlfn.XLOOKUP($E19,parent_events!$B$2:$B$56,parent_events!$L$2:$L$56,"NA")</f>
        <v>Kilvatnet_st1</v>
      </c>
      <c r="Q19" t="str">
        <f>_xlfn.XLOOKUP($P19,localities!$B$2:$B$49,localities!$C$2:$C$49,"NA")</f>
        <v>Kilvatnet</v>
      </c>
      <c r="R19">
        <f>_xlfn.XLOOKUP($P19,localities!$B$2:$B$49,localities!$D$2:$D$49,"NA")</f>
        <v>1</v>
      </c>
      <c r="S19">
        <f>_xlfn.XLOOKUP($P19,localities!$B$2:$B$49,localities!$E$2:$E$49,"NA")</f>
        <v>63.3447909</v>
      </c>
      <c r="T19">
        <f>_xlfn.XLOOKUP($P19,localities!$B$2:$B$49,localities!$F$2:$F$49,"NA")</f>
        <v>10.5500174</v>
      </c>
      <c r="U19" t="str">
        <f>_xlfn.XLOOKUP($P19,localities!$B$2:$B$49,localities!$G$2:$G$49,"NA")</f>
        <v>WGS84</v>
      </c>
      <c r="V19">
        <f>_xlfn.XLOOKUP($P19,localities!$B$2:$B$49,localities!$H$2:$H$49,"NA")</f>
        <v>5</v>
      </c>
      <c r="W19" t="str">
        <f>_xlfn.XLOOKUP($P19,localities!$B$2:$B$49,localities!$I$2:$I$49,"NA")</f>
        <v>NOR</v>
      </c>
      <c r="X19" t="str">
        <f>_xlfn.XLOOKUP($P19,localities!$B$2:$B$49,localities!$J$2:$J$49,"NA")</f>
        <v>Norway</v>
      </c>
      <c r="Y19" t="str">
        <f>_xlfn.XLOOKUP($P19,localities!$B$2:$B$49,localities!$K$2:$K$49,"NA")</f>
        <v>Sør-Trøndelag</v>
      </c>
      <c r="Z19" t="str">
        <f>_xlfn.XLOOKUP($P19,localities!$B$2:$B$49,localities!$L$2:$L$49,"NA")</f>
        <v>Trondheim</v>
      </c>
    </row>
    <row r="20" spans="2:26" x14ac:dyDescent="0.3">
      <c r="B20" t="s">
        <v>86</v>
      </c>
      <c r="C20" s="23">
        <v>3</v>
      </c>
      <c r="E20" t="s">
        <v>41</v>
      </c>
      <c r="F20" s="19">
        <f>_xlfn.XLOOKUP($E20,parent_events!$B$2:$B$56,parent_events!$C$2:$C$56,"NA")</f>
        <v>45057</v>
      </c>
      <c r="G20">
        <f>_xlfn.XLOOKUP($E20,parent_events!$B$2:$B$56,parent_events!$D$2:$D$56,"NA")</f>
        <v>2023</v>
      </c>
      <c r="H20">
        <f>_xlfn.XLOOKUP($E20,parent_events!$B$2:$B$56,parent_events!$E$2:$E$56,"NA")</f>
        <v>5</v>
      </c>
      <c r="I20">
        <f>_xlfn.XLOOKUP($E20,parent_events!$B$2:$B$56,parent_events!$F$2:$F$56,"NA")</f>
        <v>11</v>
      </c>
      <c r="J20">
        <f>_xlfn.XLOOKUP($E20,parent_events!$B$2:$B$56,parent_events!$G$2:$G$56,"NA")</f>
        <v>1</v>
      </c>
      <c r="K20" t="str">
        <f>_xlfn.XLOOKUP($E20,parent_events!$B$2:$B$56,parent_events!$H$2:$H$56,"NA")</f>
        <v>Rot (1 min)</v>
      </c>
      <c r="L20" t="str">
        <f>_xlfn.XLOOKUP($E20,parent_events!$B$2:$B$56,parent_events!$I$2:$I$56,"NA")</f>
        <v>"5 replicates of 1 minute kick samples"</v>
      </c>
      <c r="M20">
        <f>_xlfn.XLOOKUP($E20,parent_events!$B$2:$B$56,parent_events!$J$2:$J$56,"NA")</f>
        <v>1</v>
      </c>
      <c r="N20" s="23" t="str">
        <f>_xlfn.XLOOKUP($E20,parent_events!$B$2:$B$56,parent_events!$K$2:$K$56,"NA")</f>
        <v>decimalMinute</v>
      </c>
      <c r="P20" t="str">
        <f>_xlfn.XLOOKUP($E20,parent_events!$B$2:$B$56,parent_events!$L$2:$L$56,"NA")</f>
        <v>Kilvatnet_st1</v>
      </c>
      <c r="Q20" t="str">
        <f>_xlfn.XLOOKUP($P20,localities!$B$2:$B$49,localities!$C$2:$C$49,"NA")</f>
        <v>Kilvatnet</v>
      </c>
      <c r="R20">
        <f>_xlfn.XLOOKUP($P20,localities!$B$2:$B$49,localities!$D$2:$D$49,"NA")</f>
        <v>1</v>
      </c>
      <c r="S20">
        <f>_xlfn.XLOOKUP($P20,localities!$B$2:$B$49,localities!$E$2:$E$49,"NA")</f>
        <v>63.3447909</v>
      </c>
      <c r="T20">
        <f>_xlfn.XLOOKUP($P20,localities!$B$2:$B$49,localities!$F$2:$F$49,"NA")</f>
        <v>10.5500174</v>
      </c>
      <c r="U20" t="str">
        <f>_xlfn.XLOOKUP($P20,localities!$B$2:$B$49,localities!$G$2:$G$49,"NA")</f>
        <v>WGS84</v>
      </c>
      <c r="V20">
        <f>_xlfn.XLOOKUP($P20,localities!$B$2:$B$49,localities!$H$2:$H$49,"NA")</f>
        <v>5</v>
      </c>
      <c r="W20" t="str">
        <f>_xlfn.XLOOKUP($P20,localities!$B$2:$B$49,localities!$I$2:$I$49,"NA")</f>
        <v>NOR</v>
      </c>
      <c r="X20" t="str">
        <f>_xlfn.XLOOKUP($P20,localities!$B$2:$B$49,localities!$J$2:$J$49,"NA")</f>
        <v>Norway</v>
      </c>
      <c r="Y20" t="str">
        <f>_xlfn.XLOOKUP($P20,localities!$B$2:$B$49,localities!$K$2:$K$49,"NA")</f>
        <v>Sør-Trøndelag</v>
      </c>
      <c r="Z20" t="str">
        <f>_xlfn.XLOOKUP($P20,localities!$B$2:$B$49,localities!$L$2:$L$49,"NA")</f>
        <v>Trondheim</v>
      </c>
    </row>
    <row r="21" spans="2:26" x14ac:dyDescent="0.3">
      <c r="B21" t="s">
        <v>87</v>
      </c>
      <c r="C21" s="23">
        <v>4</v>
      </c>
      <c r="E21" t="s">
        <v>41</v>
      </c>
      <c r="F21" s="19">
        <f>_xlfn.XLOOKUP($E21,parent_events!$B$2:$B$56,parent_events!$C$2:$C$56,"NA")</f>
        <v>45057</v>
      </c>
      <c r="G21">
        <f>_xlfn.XLOOKUP($E21,parent_events!$B$2:$B$56,parent_events!$D$2:$D$56,"NA")</f>
        <v>2023</v>
      </c>
      <c r="H21">
        <f>_xlfn.XLOOKUP($E21,parent_events!$B$2:$B$56,parent_events!$E$2:$E$56,"NA")</f>
        <v>5</v>
      </c>
      <c r="I21">
        <f>_xlfn.XLOOKUP($E21,parent_events!$B$2:$B$56,parent_events!$F$2:$F$56,"NA")</f>
        <v>11</v>
      </c>
      <c r="J21">
        <f>_xlfn.XLOOKUP($E21,parent_events!$B$2:$B$56,parent_events!$G$2:$G$56,"NA")</f>
        <v>1</v>
      </c>
      <c r="K21" t="str">
        <f>_xlfn.XLOOKUP($E21,parent_events!$B$2:$B$56,parent_events!$H$2:$H$56,"NA")</f>
        <v>Rot (1 min)</v>
      </c>
      <c r="L21" t="str">
        <f>_xlfn.XLOOKUP($E21,parent_events!$B$2:$B$56,parent_events!$I$2:$I$56,"NA")</f>
        <v>"5 replicates of 1 minute kick samples"</v>
      </c>
      <c r="M21">
        <f>_xlfn.XLOOKUP($E21,parent_events!$B$2:$B$56,parent_events!$J$2:$J$56,"NA")</f>
        <v>1</v>
      </c>
      <c r="N21" s="23" t="str">
        <f>_xlfn.XLOOKUP($E21,parent_events!$B$2:$B$56,parent_events!$K$2:$K$56,"NA")</f>
        <v>decimalMinute</v>
      </c>
      <c r="P21" t="str">
        <f>_xlfn.XLOOKUP($E21,parent_events!$B$2:$B$56,parent_events!$L$2:$L$56,"NA")</f>
        <v>Kilvatnet_st1</v>
      </c>
      <c r="Q21" t="str">
        <f>_xlfn.XLOOKUP($P21,localities!$B$2:$B$49,localities!$C$2:$C$49,"NA")</f>
        <v>Kilvatnet</v>
      </c>
      <c r="R21">
        <f>_xlfn.XLOOKUP($P21,localities!$B$2:$B$49,localities!$D$2:$D$49,"NA")</f>
        <v>1</v>
      </c>
      <c r="S21">
        <f>_xlfn.XLOOKUP($P21,localities!$B$2:$B$49,localities!$E$2:$E$49,"NA")</f>
        <v>63.3447909</v>
      </c>
      <c r="T21">
        <f>_xlfn.XLOOKUP($P21,localities!$B$2:$B$49,localities!$F$2:$F$49,"NA")</f>
        <v>10.5500174</v>
      </c>
      <c r="U21" t="str">
        <f>_xlfn.XLOOKUP($P21,localities!$B$2:$B$49,localities!$G$2:$G$49,"NA")</f>
        <v>WGS84</v>
      </c>
      <c r="V21">
        <f>_xlfn.XLOOKUP($P21,localities!$B$2:$B$49,localities!$H$2:$H$49,"NA")</f>
        <v>5</v>
      </c>
      <c r="W21" t="str">
        <f>_xlfn.XLOOKUP($P21,localities!$B$2:$B$49,localities!$I$2:$I$49,"NA")</f>
        <v>NOR</v>
      </c>
      <c r="X21" t="str">
        <f>_xlfn.XLOOKUP($P21,localities!$B$2:$B$49,localities!$J$2:$J$49,"NA")</f>
        <v>Norway</v>
      </c>
      <c r="Y21" t="str">
        <f>_xlfn.XLOOKUP($P21,localities!$B$2:$B$49,localities!$K$2:$K$49,"NA")</f>
        <v>Sør-Trøndelag</v>
      </c>
      <c r="Z21" t="str">
        <f>_xlfn.XLOOKUP($P21,localities!$B$2:$B$49,localities!$L$2:$L$49,"NA")</f>
        <v>Trondheim</v>
      </c>
    </row>
    <row r="22" spans="2:26" x14ac:dyDescent="0.3">
      <c r="B22" t="s">
        <v>88</v>
      </c>
      <c r="C22" s="23">
        <v>5</v>
      </c>
      <c r="E22" t="s">
        <v>41</v>
      </c>
      <c r="F22" s="19">
        <f>_xlfn.XLOOKUP($E22,parent_events!$B$2:$B$56,parent_events!$C$2:$C$56,"NA")</f>
        <v>45057</v>
      </c>
      <c r="G22">
        <f>_xlfn.XLOOKUP($E22,parent_events!$B$2:$B$56,parent_events!$D$2:$D$56,"NA")</f>
        <v>2023</v>
      </c>
      <c r="H22">
        <f>_xlfn.XLOOKUP($E22,parent_events!$B$2:$B$56,parent_events!$E$2:$E$56,"NA")</f>
        <v>5</v>
      </c>
      <c r="I22">
        <f>_xlfn.XLOOKUP($E22,parent_events!$B$2:$B$56,parent_events!$F$2:$F$56,"NA")</f>
        <v>11</v>
      </c>
      <c r="J22">
        <f>_xlfn.XLOOKUP($E22,parent_events!$B$2:$B$56,parent_events!$G$2:$G$56,"NA")</f>
        <v>1</v>
      </c>
      <c r="K22" t="str">
        <f>_xlfn.XLOOKUP($E22,parent_events!$B$2:$B$56,parent_events!$H$2:$H$56,"NA")</f>
        <v>Rot (1 min)</v>
      </c>
      <c r="L22" t="str">
        <f>_xlfn.XLOOKUP($E22,parent_events!$B$2:$B$56,parent_events!$I$2:$I$56,"NA")</f>
        <v>"5 replicates of 1 minute kick samples"</v>
      </c>
      <c r="M22">
        <f>_xlfn.XLOOKUP($E22,parent_events!$B$2:$B$56,parent_events!$J$2:$J$56,"NA")</f>
        <v>1</v>
      </c>
      <c r="N22" s="23" t="str">
        <f>_xlfn.XLOOKUP($E22,parent_events!$B$2:$B$56,parent_events!$K$2:$K$56,"NA")</f>
        <v>decimalMinute</v>
      </c>
      <c r="P22" t="str">
        <f>_xlfn.XLOOKUP($E22,parent_events!$B$2:$B$56,parent_events!$L$2:$L$56,"NA")</f>
        <v>Kilvatnet_st1</v>
      </c>
      <c r="Q22" t="str">
        <f>_xlfn.XLOOKUP($P22,localities!$B$2:$B$49,localities!$C$2:$C$49,"NA")</f>
        <v>Kilvatnet</v>
      </c>
      <c r="R22">
        <f>_xlfn.XLOOKUP($P22,localities!$B$2:$B$49,localities!$D$2:$D$49,"NA")</f>
        <v>1</v>
      </c>
      <c r="S22">
        <f>_xlfn.XLOOKUP($P22,localities!$B$2:$B$49,localities!$E$2:$E$49,"NA")</f>
        <v>63.3447909</v>
      </c>
      <c r="T22">
        <f>_xlfn.XLOOKUP($P22,localities!$B$2:$B$49,localities!$F$2:$F$49,"NA")</f>
        <v>10.5500174</v>
      </c>
      <c r="U22" t="str">
        <f>_xlfn.XLOOKUP($P22,localities!$B$2:$B$49,localities!$G$2:$G$49,"NA")</f>
        <v>WGS84</v>
      </c>
      <c r="V22">
        <f>_xlfn.XLOOKUP($P22,localities!$B$2:$B$49,localities!$H$2:$H$49,"NA")</f>
        <v>5</v>
      </c>
      <c r="W22" t="str">
        <f>_xlfn.XLOOKUP($P22,localities!$B$2:$B$49,localities!$I$2:$I$49,"NA")</f>
        <v>NOR</v>
      </c>
      <c r="X22" t="str">
        <f>_xlfn.XLOOKUP($P22,localities!$B$2:$B$49,localities!$J$2:$J$49,"NA")</f>
        <v>Norway</v>
      </c>
      <c r="Y22" t="str">
        <f>_xlfn.XLOOKUP($P22,localities!$B$2:$B$49,localities!$K$2:$K$49,"NA")</f>
        <v>Sør-Trøndelag</v>
      </c>
      <c r="Z22" t="str">
        <f>_xlfn.XLOOKUP($P22,localities!$B$2:$B$49,localities!$L$2:$L$49,"NA")</f>
        <v>Trondheim</v>
      </c>
    </row>
    <row r="23" spans="2:26" x14ac:dyDescent="0.3">
      <c r="B23" t="s">
        <v>89</v>
      </c>
      <c r="C23" s="23">
        <v>1</v>
      </c>
      <c r="E23" t="s">
        <v>42</v>
      </c>
      <c r="F23" s="19">
        <f>_xlfn.XLOOKUP($E23,parent_events!$B$2:$B$56,parent_events!$C$2:$C$56,"NA")</f>
        <v>45057</v>
      </c>
      <c r="G23">
        <f>_xlfn.XLOOKUP($E23,parent_events!$B$2:$B$56,parent_events!$D$2:$D$56,"NA")</f>
        <v>2023</v>
      </c>
      <c r="H23">
        <f>_xlfn.XLOOKUP($E23,parent_events!$B$2:$B$56,parent_events!$E$2:$E$56,"NA")</f>
        <v>5</v>
      </c>
      <c r="I23">
        <f>_xlfn.XLOOKUP($E23,parent_events!$B$2:$B$56,parent_events!$F$2:$F$56,"NA")</f>
        <v>11</v>
      </c>
      <c r="J23">
        <f>_xlfn.XLOOKUP($E23,parent_events!$B$2:$B$56,parent_events!$G$2:$G$56,"NA")</f>
        <v>1</v>
      </c>
      <c r="K23" t="str">
        <f>_xlfn.XLOOKUP($E23,parent_events!$B$2:$B$56,parent_events!$H$2:$H$56,"NA")</f>
        <v>Rot (1 min)</v>
      </c>
      <c r="L23" t="str">
        <f>_xlfn.XLOOKUP($E23,parent_events!$B$2:$B$56,parent_events!$I$2:$I$56,"NA")</f>
        <v>"5 replicates of 1 minute kick samples"</v>
      </c>
      <c r="M23">
        <f>_xlfn.XLOOKUP($E23,parent_events!$B$2:$B$56,parent_events!$J$2:$J$56,"NA")</f>
        <v>1</v>
      </c>
      <c r="N23" s="23" t="str">
        <f>_xlfn.XLOOKUP($E23,parent_events!$B$2:$B$56,parent_events!$K$2:$K$56,"NA")</f>
        <v>decimalMinute</v>
      </c>
      <c r="P23" t="str">
        <f>_xlfn.XLOOKUP($E23,parent_events!$B$2:$B$56,parent_events!$L$2:$L$56,"NA")</f>
        <v>Stor-Drakstsjoen_st1</v>
      </c>
      <c r="Q23" t="str">
        <f>_xlfn.XLOOKUP($P23,localities!$B$2:$B$49,localities!$C$2:$C$49,"NA")</f>
        <v>Stor-Drakstsjøen</v>
      </c>
      <c r="R23">
        <f>_xlfn.XLOOKUP($P23,localities!$B$2:$B$49,localities!$D$2:$D$49,"NA")</f>
        <v>1</v>
      </c>
      <c r="S23">
        <f>_xlfn.XLOOKUP($P23,localities!$B$2:$B$49,localities!$E$2:$E$49,"NA")</f>
        <v>63.286461099999997</v>
      </c>
      <c r="T23">
        <f>_xlfn.XLOOKUP($P23,localities!$B$2:$B$49,localities!$F$2:$F$49,"NA")</f>
        <v>10.802471300000001</v>
      </c>
      <c r="U23" t="str">
        <f>_xlfn.XLOOKUP($P23,localities!$B$2:$B$49,localities!$G$2:$G$49,"NA")</f>
        <v>WGS84</v>
      </c>
      <c r="V23">
        <f>_xlfn.XLOOKUP($P23,localities!$B$2:$B$49,localities!$H$2:$H$49,"NA")</f>
        <v>5</v>
      </c>
      <c r="W23" t="str">
        <f>_xlfn.XLOOKUP($P23,localities!$B$2:$B$49,localities!$I$2:$I$49,"NA")</f>
        <v>NOR</v>
      </c>
      <c r="X23" t="str">
        <f>_xlfn.XLOOKUP($P23,localities!$B$2:$B$49,localities!$J$2:$J$49,"NA")</f>
        <v>Norway</v>
      </c>
      <c r="Y23" t="str">
        <f>_xlfn.XLOOKUP($P23,localities!$B$2:$B$49,localities!$K$2:$K$49,"NA")</f>
        <v>Sør-Trøndelag</v>
      </c>
      <c r="Z23" t="str">
        <f>_xlfn.XLOOKUP($P23,localities!$B$2:$B$49,localities!$L$2:$L$49,"NA")</f>
        <v>Selbu</v>
      </c>
    </row>
    <row r="24" spans="2:26" x14ac:dyDescent="0.3">
      <c r="B24" t="s">
        <v>90</v>
      </c>
      <c r="C24" s="23">
        <v>2</v>
      </c>
      <c r="E24" t="s">
        <v>42</v>
      </c>
      <c r="F24" s="19">
        <f>_xlfn.XLOOKUP($E24,parent_events!$B$2:$B$56,parent_events!$C$2:$C$56,"NA")</f>
        <v>45057</v>
      </c>
      <c r="G24">
        <f>_xlfn.XLOOKUP($E24,parent_events!$B$2:$B$56,parent_events!$D$2:$D$56,"NA")</f>
        <v>2023</v>
      </c>
      <c r="H24">
        <f>_xlfn.XLOOKUP($E24,parent_events!$B$2:$B$56,parent_events!$E$2:$E$56,"NA")</f>
        <v>5</v>
      </c>
      <c r="I24">
        <f>_xlfn.XLOOKUP($E24,parent_events!$B$2:$B$56,parent_events!$F$2:$F$56,"NA")</f>
        <v>11</v>
      </c>
      <c r="J24">
        <f>_xlfn.XLOOKUP($E24,parent_events!$B$2:$B$56,parent_events!$G$2:$G$56,"NA")</f>
        <v>1</v>
      </c>
      <c r="K24" t="str">
        <f>_xlfn.XLOOKUP($E24,parent_events!$B$2:$B$56,parent_events!$H$2:$H$56,"NA")</f>
        <v>Rot (1 min)</v>
      </c>
      <c r="L24" t="str">
        <f>_xlfn.XLOOKUP($E24,parent_events!$B$2:$B$56,parent_events!$I$2:$I$56,"NA")</f>
        <v>"5 replicates of 1 minute kick samples"</v>
      </c>
      <c r="M24">
        <f>_xlfn.XLOOKUP($E24,parent_events!$B$2:$B$56,parent_events!$J$2:$J$56,"NA")</f>
        <v>1</v>
      </c>
      <c r="N24" s="23" t="str">
        <f>_xlfn.XLOOKUP($E24,parent_events!$B$2:$B$56,parent_events!$K$2:$K$56,"NA")</f>
        <v>decimalMinute</v>
      </c>
      <c r="P24" t="str">
        <f>_xlfn.XLOOKUP($E24,parent_events!$B$2:$B$56,parent_events!$L$2:$L$56,"NA")</f>
        <v>Stor-Drakstsjoen_st1</v>
      </c>
      <c r="Q24" t="str">
        <f>_xlfn.XLOOKUP($P24,localities!$B$2:$B$49,localities!$C$2:$C$49,"NA")</f>
        <v>Stor-Drakstsjøen</v>
      </c>
      <c r="R24">
        <f>_xlfn.XLOOKUP($P24,localities!$B$2:$B$49,localities!$D$2:$D$49,"NA")</f>
        <v>1</v>
      </c>
      <c r="S24">
        <f>_xlfn.XLOOKUP($P24,localities!$B$2:$B$49,localities!$E$2:$E$49,"NA")</f>
        <v>63.286461099999997</v>
      </c>
      <c r="T24">
        <f>_xlfn.XLOOKUP($P24,localities!$B$2:$B$49,localities!$F$2:$F$49,"NA")</f>
        <v>10.802471300000001</v>
      </c>
      <c r="U24" t="str">
        <f>_xlfn.XLOOKUP($P24,localities!$B$2:$B$49,localities!$G$2:$G$49,"NA")</f>
        <v>WGS84</v>
      </c>
      <c r="V24">
        <f>_xlfn.XLOOKUP($P24,localities!$B$2:$B$49,localities!$H$2:$H$49,"NA")</f>
        <v>5</v>
      </c>
      <c r="W24" t="str">
        <f>_xlfn.XLOOKUP($P24,localities!$B$2:$B$49,localities!$I$2:$I$49,"NA")</f>
        <v>NOR</v>
      </c>
      <c r="X24" t="str">
        <f>_xlfn.XLOOKUP($P24,localities!$B$2:$B$49,localities!$J$2:$J$49,"NA")</f>
        <v>Norway</v>
      </c>
      <c r="Y24" t="str">
        <f>_xlfn.XLOOKUP($P24,localities!$B$2:$B$49,localities!$K$2:$K$49,"NA")</f>
        <v>Sør-Trøndelag</v>
      </c>
      <c r="Z24" t="str">
        <f>_xlfn.XLOOKUP($P24,localities!$B$2:$B$49,localities!$L$2:$L$49,"NA")</f>
        <v>Selbu</v>
      </c>
    </row>
    <row r="25" spans="2:26" x14ac:dyDescent="0.3">
      <c r="B25" t="s">
        <v>91</v>
      </c>
      <c r="C25" s="23">
        <v>3</v>
      </c>
      <c r="E25" t="s">
        <v>42</v>
      </c>
      <c r="F25" s="19">
        <f>_xlfn.XLOOKUP($E25,parent_events!$B$2:$B$56,parent_events!$C$2:$C$56,"NA")</f>
        <v>45057</v>
      </c>
      <c r="G25">
        <f>_xlfn.XLOOKUP($E25,parent_events!$B$2:$B$56,parent_events!$D$2:$D$56,"NA")</f>
        <v>2023</v>
      </c>
      <c r="H25">
        <f>_xlfn.XLOOKUP($E25,parent_events!$B$2:$B$56,parent_events!$E$2:$E$56,"NA")</f>
        <v>5</v>
      </c>
      <c r="I25">
        <f>_xlfn.XLOOKUP($E25,parent_events!$B$2:$B$56,parent_events!$F$2:$F$56,"NA")</f>
        <v>11</v>
      </c>
      <c r="J25">
        <f>_xlfn.XLOOKUP($E25,parent_events!$B$2:$B$56,parent_events!$G$2:$G$56,"NA")</f>
        <v>1</v>
      </c>
      <c r="K25" t="str">
        <f>_xlfn.XLOOKUP($E25,parent_events!$B$2:$B$56,parent_events!$H$2:$H$56,"NA")</f>
        <v>Rot (1 min)</v>
      </c>
      <c r="L25" t="str">
        <f>_xlfn.XLOOKUP($E25,parent_events!$B$2:$B$56,parent_events!$I$2:$I$56,"NA")</f>
        <v>"5 replicates of 1 minute kick samples"</v>
      </c>
      <c r="M25">
        <f>_xlfn.XLOOKUP($E25,parent_events!$B$2:$B$56,parent_events!$J$2:$J$56,"NA")</f>
        <v>1</v>
      </c>
      <c r="N25" s="23" t="str">
        <f>_xlfn.XLOOKUP($E25,parent_events!$B$2:$B$56,parent_events!$K$2:$K$56,"NA")</f>
        <v>decimalMinute</v>
      </c>
      <c r="P25" t="str">
        <f>_xlfn.XLOOKUP($E25,parent_events!$B$2:$B$56,parent_events!$L$2:$L$56,"NA")</f>
        <v>Stor-Drakstsjoen_st1</v>
      </c>
      <c r="Q25" t="str">
        <f>_xlfn.XLOOKUP($P25,localities!$B$2:$B$49,localities!$C$2:$C$49,"NA")</f>
        <v>Stor-Drakstsjøen</v>
      </c>
      <c r="R25">
        <f>_xlfn.XLOOKUP($P25,localities!$B$2:$B$49,localities!$D$2:$D$49,"NA")</f>
        <v>1</v>
      </c>
      <c r="S25">
        <f>_xlfn.XLOOKUP($P25,localities!$B$2:$B$49,localities!$E$2:$E$49,"NA")</f>
        <v>63.286461099999997</v>
      </c>
      <c r="T25">
        <f>_xlfn.XLOOKUP($P25,localities!$B$2:$B$49,localities!$F$2:$F$49,"NA")</f>
        <v>10.802471300000001</v>
      </c>
      <c r="U25" t="str">
        <f>_xlfn.XLOOKUP($P25,localities!$B$2:$B$49,localities!$G$2:$G$49,"NA")</f>
        <v>WGS84</v>
      </c>
      <c r="V25">
        <f>_xlfn.XLOOKUP($P25,localities!$B$2:$B$49,localities!$H$2:$H$49,"NA")</f>
        <v>5</v>
      </c>
      <c r="W25" t="str">
        <f>_xlfn.XLOOKUP($P25,localities!$B$2:$B$49,localities!$I$2:$I$49,"NA")</f>
        <v>NOR</v>
      </c>
      <c r="X25" t="str">
        <f>_xlfn.XLOOKUP($P25,localities!$B$2:$B$49,localities!$J$2:$J$49,"NA")</f>
        <v>Norway</v>
      </c>
      <c r="Y25" t="str">
        <f>_xlfn.XLOOKUP($P25,localities!$B$2:$B$49,localities!$K$2:$K$49,"NA")</f>
        <v>Sør-Trøndelag</v>
      </c>
      <c r="Z25" t="str">
        <f>_xlfn.XLOOKUP($P25,localities!$B$2:$B$49,localities!$L$2:$L$49,"NA")</f>
        <v>Selbu</v>
      </c>
    </row>
    <row r="26" spans="2:26" x14ac:dyDescent="0.3">
      <c r="B26" t="s">
        <v>92</v>
      </c>
      <c r="C26" s="23">
        <v>4</v>
      </c>
      <c r="E26" t="s">
        <v>42</v>
      </c>
      <c r="F26" s="19">
        <f>_xlfn.XLOOKUP($E26,parent_events!$B$2:$B$56,parent_events!$C$2:$C$56,"NA")</f>
        <v>45057</v>
      </c>
      <c r="G26">
        <f>_xlfn.XLOOKUP($E26,parent_events!$B$2:$B$56,parent_events!$D$2:$D$56,"NA")</f>
        <v>2023</v>
      </c>
      <c r="H26">
        <f>_xlfn.XLOOKUP($E26,parent_events!$B$2:$B$56,parent_events!$E$2:$E$56,"NA")</f>
        <v>5</v>
      </c>
      <c r="I26">
        <f>_xlfn.XLOOKUP($E26,parent_events!$B$2:$B$56,parent_events!$F$2:$F$56,"NA")</f>
        <v>11</v>
      </c>
      <c r="J26">
        <f>_xlfn.XLOOKUP($E26,parent_events!$B$2:$B$56,parent_events!$G$2:$G$56,"NA")</f>
        <v>1</v>
      </c>
      <c r="K26" t="str">
        <f>_xlfn.XLOOKUP($E26,parent_events!$B$2:$B$56,parent_events!$H$2:$H$56,"NA")</f>
        <v>Rot (1 min)</v>
      </c>
      <c r="L26" t="str">
        <f>_xlfn.XLOOKUP($E26,parent_events!$B$2:$B$56,parent_events!$I$2:$I$56,"NA")</f>
        <v>"5 replicates of 1 minute kick samples"</v>
      </c>
      <c r="M26">
        <f>_xlfn.XLOOKUP($E26,parent_events!$B$2:$B$56,parent_events!$J$2:$J$56,"NA")</f>
        <v>1</v>
      </c>
      <c r="N26" s="23" t="str">
        <f>_xlfn.XLOOKUP($E26,parent_events!$B$2:$B$56,parent_events!$K$2:$K$56,"NA")</f>
        <v>decimalMinute</v>
      </c>
      <c r="P26" t="str">
        <f>_xlfn.XLOOKUP($E26,parent_events!$B$2:$B$56,parent_events!$L$2:$L$56,"NA")</f>
        <v>Stor-Drakstsjoen_st1</v>
      </c>
      <c r="Q26" t="str">
        <f>_xlfn.XLOOKUP($P26,localities!$B$2:$B$49,localities!$C$2:$C$49,"NA")</f>
        <v>Stor-Drakstsjøen</v>
      </c>
      <c r="R26">
        <f>_xlfn.XLOOKUP($P26,localities!$B$2:$B$49,localities!$D$2:$D$49,"NA")</f>
        <v>1</v>
      </c>
      <c r="S26">
        <f>_xlfn.XLOOKUP($P26,localities!$B$2:$B$49,localities!$E$2:$E$49,"NA")</f>
        <v>63.286461099999997</v>
      </c>
      <c r="T26">
        <f>_xlfn.XLOOKUP($P26,localities!$B$2:$B$49,localities!$F$2:$F$49,"NA")</f>
        <v>10.802471300000001</v>
      </c>
      <c r="U26" t="str">
        <f>_xlfn.XLOOKUP($P26,localities!$B$2:$B$49,localities!$G$2:$G$49,"NA")</f>
        <v>WGS84</v>
      </c>
      <c r="V26">
        <f>_xlfn.XLOOKUP($P26,localities!$B$2:$B$49,localities!$H$2:$H$49,"NA")</f>
        <v>5</v>
      </c>
      <c r="W26" t="str">
        <f>_xlfn.XLOOKUP($P26,localities!$B$2:$B$49,localities!$I$2:$I$49,"NA")</f>
        <v>NOR</v>
      </c>
      <c r="X26" t="str">
        <f>_xlfn.XLOOKUP($P26,localities!$B$2:$B$49,localities!$J$2:$J$49,"NA")</f>
        <v>Norway</v>
      </c>
      <c r="Y26" t="str">
        <f>_xlfn.XLOOKUP($P26,localities!$B$2:$B$49,localities!$K$2:$K$49,"NA")</f>
        <v>Sør-Trøndelag</v>
      </c>
      <c r="Z26" t="str">
        <f>_xlfn.XLOOKUP($P26,localities!$B$2:$B$49,localities!$L$2:$L$49,"NA")</f>
        <v>Selbu</v>
      </c>
    </row>
    <row r="27" spans="2:26" x14ac:dyDescent="0.3">
      <c r="B27" t="s">
        <v>93</v>
      </c>
      <c r="C27" s="23">
        <v>5</v>
      </c>
      <c r="E27" t="s">
        <v>42</v>
      </c>
      <c r="F27" s="19">
        <f>_xlfn.XLOOKUP($E27,parent_events!$B$2:$B$56,parent_events!$C$2:$C$56,"NA")</f>
        <v>45057</v>
      </c>
      <c r="G27">
        <f>_xlfn.XLOOKUP($E27,parent_events!$B$2:$B$56,parent_events!$D$2:$D$56,"NA")</f>
        <v>2023</v>
      </c>
      <c r="H27">
        <f>_xlfn.XLOOKUP($E27,parent_events!$B$2:$B$56,parent_events!$E$2:$E$56,"NA")</f>
        <v>5</v>
      </c>
      <c r="I27">
        <f>_xlfn.XLOOKUP($E27,parent_events!$B$2:$B$56,parent_events!$F$2:$F$56,"NA")</f>
        <v>11</v>
      </c>
      <c r="J27">
        <f>_xlfn.XLOOKUP($E27,parent_events!$B$2:$B$56,parent_events!$G$2:$G$56,"NA")</f>
        <v>1</v>
      </c>
      <c r="K27" t="str">
        <f>_xlfn.XLOOKUP($E27,parent_events!$B$2:$B$56,parent_events!$H$2:$H$56,"NA")</f>
        <v>Rot (1 min)</v>
      </c>
      <c r="L27" t="str">
        <f>_xlfn.XLOOKUP($E27,parent_events!$B$2:$B$56,parent_events!$I$2:$I$56,"NA")</f>
        <v>"5 replicates of 1 minute kick samples"</v>
      </c>
      <c r="M27">
        <f>_xlfn.XLOOKUP($E27,parent_events!$B$2:$B$56,parent_events!$J$2:$J$56,"NA")</f>
        <v>1</v>
      </c>
      <c r="N27" s="23" t="str">
        <f>_xlfn.XLOOKUP($E27,parent_events!$B$2:$B$56,parent_events!$K$2:$K$56,"NA")</f>
        <v>decimalMinute</v>
      </c>
      <c r="P27" t="str">
        <f>_xlfn.XLOOKUP($E27,parent_events!$B$2:$B$56,parent_events!$L$2:$L$56,"NA")</f>
        <v>Stor-Drakstsjoen_st1</v>
      </c>
      <c r="Q27" t="str">
        <f>_xlfn.XLOOKUP($P27,localities!$B$2:$B$49,localities!$C$2:$C$49,"NA")</f>
        <v>Stor-Drakstsjøen</v>
      </c>
      <c r="R27">
        <f>_xlfn.XLOOKUP($P27,localities!$B$2:$B$49,localities!$D$2:$D$49,"NA")</f>
        <v>1</v>
      </c>
      <c r="S27">
        <f>_xlfn.XLOOKUP($P27,localities!$B$2:$B$49,localities!$E$2:$E$49,"NA")</f>
        <v>63.286461099999997</v>
      </c>
      <c r="T27">
        <f>_xlfn.XLOOKUP($P27,localities!$B$2:$B$49,localities!$F$2:$F$49,"NA")</f>
        <v>10.802471300000001</v>
      </c>
      <c r="U27" t="str">
        <f>_xlfn.XLOOKUP($P27,localities!$B$2:$B$49,localities!$G$2:$G$49,"NA")</f>
        <v>WGS84</v>
      </c>
      <c r="V27">
        <f>_xlfn.XLOOKUP($P27,localities!$B$2:$B$49,localities!$H$2:$H$49,"NA")</f>
        <v>5</v>
      </c>
      <c r="W27" t="str">
        <f>_xlfn.XLOOKUP($P27,localities!$B$2:$B$49,localities!$I$2:$I$49,"NA")</f>
        <v>NOR</v>
      </c>
      <c r="X27" t="str">
        <f>_xlfn.XLOOKUP($P27,localities!$B$2:$B$49,localities!$J$2:$J$49,"NA")</f>
        <v>Norway</v>
      </c>
      <c r="Y27" t="str">
        <f>_xlfn.XLOOKUP($P27,localities!$B$2:$B$49,localities!$K$2:$K$49,"NA")</f>
        <v>Sør-Trøndelag</v>
      </c>
      <c r="Z27" t="str">
        <f>_xlfn.XLOOKUP($P27,localities!$B$2:$B$49,localities!$L$2:$L$49,"NA")</f>
        <v>Selbu</v>
      </c>
    </row>
    <row r="28" spans="2:26" x14ac:dyDescent="0.3">
      <c r="B28" t="s">
        <v>94</v>
      </c>
      <c r="C28" s="23">
        <v>1</v>
      </c>
      <c r="E28" t="s">
        <v>43</v>
      </c>
      <c r="F28" s="19">
        <f>_xlfn.XLOOKUP($E28,parent_events!$B$2:$B$56,parent_events!$C$2:$C$56,"NA")</f>
        <v>45068</v>
      </c>
      <c r="G28">
        <f>_xlfn.XLOOKUP($E28,parent_events!$B$2:$B$56,parent_events!$D$2:$D$56,"NA")</f>
        <v>2023</v>
      </c>
      <c r="H28">
        <f>_xlfn.XLOOKUP($E28,parent_events!$B$2:$B$56,parent_events!$E$2:$E$56,"NA")</f>
        <v>5</v>
      </c>
      <c r="I28">
        <f>_xlfn.XLOOKUP($E28,parent_events!$B$2:$B$56,parent_events!$F$2:$F$56,"NA")</f>
        <v>22</v>
      </c>
      <c r="J28">
        <f>_xlfn.XLOOKUP($E28,parent_events!$B$2:$B$56,parent_events!$G$2:$G$56,"NA")</f>
        <v>2</v>
      </c>
      <c r="K28" t="str">
        <f>_xlfn.XLOOKUP($E28,parent_events!$B$2:$B$56,parent_events!$H$2:$H$56,"NA")</f>
        <v>Rot (1 min)</v>
      </c>
      <c r="L28" t="str">
        <f>_xlfn.XLOOKUP($E28,parent_events!$B$2:$B$56,parent_events!$I$2:$I$56,"NA")</f>
        <v>"5 replicates of 1 minute kick samples"</v>
      </c>
      <c r="M28">
        <f>_xlfn.XLOOKUP($E28,parent_events!$B$2:$B$56,parent_events!$J$2:$J$56,"NA")</f>
        <v>1</v>
      </c>
      <c r="N28" s="23" t="str">
        <f>_xlfn.XLOOKUP($E28,parent_events!$B$2:$B$56,parent_events!$K$2:$K$56,"NA")</f>
        <v>decimalMinute</v>
      </c>
      <c r="P28" t="str">
        <f>_xlfn.XLOOKUP($E28,parent_events!$B$2:$B$56,parent_events!$L$2:$L$56,"NA")</f>
        <v>Roksetvatnet_st1</v>
      </c>
      <c r="Q28" t="str">
        <f>_xlfn.XLOOKUP($P28,localities!$B$2:$B$49,localities!$C$2:$C$49,"NA")</f>
        <v>Roksetvatnet</v>
      </c>
      <c r="R28">
        <f>_xlfn.XLOOKUP($P28,localities!$B$2:$B$49,localities!$D$2:$D$49,"NA")</f>
        <v>1</v>
      </c>
      <c r="S28">
        <f>_xlfn.XLOOKUP($P28,localities!$B$2:$B$49,localities!$E$2:$E$49,"NA")</f>
        <v>63.654024200000002</v>
      </c>
      <c r="T28">
        <f>_xlfn.XLOOKUP($P28,localities!$B$2:$B$49,localities!$F$2:$F$49,"NA")</f>
        <v>10.066431400000001</v>
      </c>
      <c r="U28" t="str">
        <f>_xlfn.XLOOKUP($P28,localities!$B$2:$B$49,localities!$G$2:$G$49,"NA")</f>
        <v>WGS84</v>
      </c>
      <c r="V28">
        <f>_xlfn.XLOOKUP($P28,localities!$B$2:$B$49,localities!$H$2:$H$49,"NA")</f>
        <v>5</v>
      </c>
      <c r="W28" t="str">
        <f>_xlfn.XLOOKUP($P28,localities!$B$2:$B$49,localities!$I$2:$I$49,"NA")</f>
        <v>NOR</v>
      </c>
      <c r="X28" t="str">
        <f>_xlfn.XLOOKUP($P28,localities!$B$2:$B$49,localities!$J$2:$J$49,"NA")</f>
        <v>Norway</v>
      </c>
      <c r="Y28" t="str">
        <f>_xlfn.XLOOKUP($P28,localities!$B$2:$B$49,localities!$K$2:$K$49,"NA")</f>
        <v>Sør-Trøndelag</v>
      </c>
      <c r="Z28" t="str">
        <f>_xlfn.XLOOKUP($P28,localities!$B$2:$B$49,localities!$L$2:$L$49,"NA")</f>
        <v>Indre Fosen</v>
      </c>
    </row>
    <row r="29" spans="2:26" x14ac:dyDescent="0.3">
      <c r="B29" t="s">
        <v>95</v>
      </c>
      <c r="C29" s="23">
        <v>2</v>
      </c>
      <c r="E29" t="s">
        <v>43</v>
      </c>
      <c r="F29" s="19">
        <f>_xlfn.XLOOKUP($E29,parent_events!$B$2:$B$56,parent_events!$C$2:$C$56,"NA")</f>
        <v>45068</v>
      </c>
      <c r="G29">
        <f>_xlfn.XLOOKUP($E29,parent_events!$B$2:$B$56,parent_events!$D$2:$D$56,"NA")</f>
        <v>2023</v>
      </c>
      <c r="H29">
        <f>_xlfn.XLOOKUP($E29,parent_events!$B$2:$B$56,parent_events!$E$2:$E$56,"NA")</f>
        <v>5</v>
      </c>
      <c r="I29">
        <f>_xlfn.XLOOKUP($E29,parent_events!$B$2:$B$56,parent_events!$F$2:$F$56,"NA")</f>
        <v>22</v>
      </c>
      <c r="J29">
        <f>_xlfn.XLOOKUP($E29,parent_events!$B$2:$B$56,parent_events!$G$2:$G$56,"NA")</f>
        <v>2</v>
      </c>
      <c r="K29" t="str">
        <f>_xlfn.XLOOKUP($E29,parent_events!$B$2:$B$56,parent_events!$H$2:$H$56,"NA")</f>
        <v>Rot (1 min)</v>
      </c>
      <c r="L29" t="str">
        <f>_xlfn.XLOOKUP($E29,parent_events!$B$2:$B$56,parent_events!$I$2:$I$56,"NA")</f>
        <v>"5 replicates of 1 minute kick samples"</v>
      </c>
      <c r="M29">
        <f>_xlfn.XLOOKUP($E29,parent_events!$B$2:$B$56,parent_events!$J$2:$J$56,"NA")</f>
        <v>1</v>
      </c>
      <c r="N29" s="23" t="str">
        <f>_xlfn.XLOOKUP($E29,parent_events!$B$2:$B$56,parent_events!$K$2:$K$56,"NA")</f>
        <v>decimalMinute</v>
      </c>
      <c r="P29" t="str">
        <f>_xlfn.XLOOKUP($E29,parent_events!$B$2:$B$56,parent_events!$L$2:$L$56,"NA")</f>
        <v>Roksetvatnet_st1</v>
      </c>
      <c r="Q29" t="str">
        <f>_xlfn.XLOOKUP($P29,localities!$B$2:$B$49,localities!$C$2:$C$49,"NA")</f>
        <v>Roksetvatnet</v>
      </c>
      <c r="R29">
        <f>_xlfn.XLOOKUP($P29,localities!$B$2:$B$49,localities!$D$2:$D$49,"NA")</f>
        <v>1</v>
      </c>
      <c r="S29">
        <f>_xlfn.XLOOKUP($P29,localities!$B$2:$B$49,localities!$E$2:$E$49,"NA")</f>
        <v>63.654024200000002</v>
      </c>
      <c r="T29">
        <f>_xlfn.XLOOKUP($P29,localities!$B$2:$B$49,localities!$F$2:$F$49,"NA")</f>
        <v>10.066431400000001</v>
      </c>
      <c r="U29" t="str">
        <f>_xlfn.XLOOKUP($P29,localities!$B$2:$B$49,localities!$G$2:$G$49,"NA")</f>
        <v>WGS84</v>
      </c>
      <c r="V29">
        <f>_xlfn.XLOOKUP($P29,localities!$B$2:$B$49,localities!$H$2:$H$49,"NA")</f>
        <v>5</v>
      </c>
      <c r="W29" t="str">
        <f>_xlfn.XLOOKUP($P29,localities!$B$2:$B$49,localities!$I$2:$I$49,"NA")</f>
        <v>NOR</v>
      </c>
      <c r="X29" t="str">
        <f>_xlfn.XLOOKUP($P29,localities!$B$2:$B$49,localities!$J$2:$J$49,"NA")</f>
        <v>Norway</v>
      </c>
      <c r="Y29" t="str">
        <f>_xlfn.XLOOKUP($P29,localities!$B$2:$B$49,localities!$K$2:$K$49,"NA")</f>
        <v>Sør-Trøndelag</v>
      </c>
      <c r="Z29" t="str">
        <f>_xlfn.XLOOKUP($P29,localities!$B$2:$B$49,localities!$L$2:$L$49,"NA")</f>
        <v>Indre Fosen</v>
      </c>
    </row>
    <row r="30" spans="2:26" x14ac:dyDescent="0.3">
      <c r="B30" t="s">
        <v>96</v>
      </c>
      <c r="C30" s="23">
        <v>3</v>
      </c>
      <c r="E30" t="s">
        <v>43</v>
      </c>
      <c r="F30" s="19">
        <f>_xlfn.XLOOKUP($E30,parent_events!$B$2:$B$56,parent_events!$C$2:$C$56,"NA")</f>
        <v>45068</v>
      </c>
      <c r="G30">
        <f>_xlfn.XLOOKUP($E30,parent_events!$B$2:$B$56,parent_events!$D$2:$D$56,"NA")</f>
        <v>2023</v>
      </c>
      <c r="H30">
        <f>_xlfn.XLOOKUP($E30,parent_events!$B$2:$B$56,parent_events!$E$2:$E$56,"NA")</f>
        <v>5</v>
      </c>
      <c r="I30">
        <f>_xlfn.XLOOKUP($E30,parent_events!$B$2:$B$56,parent_events!$F$2:$F$56,"NA")</f>
        <v>22</v>
      </c>
      <c r="J30">
        <f>_xlfn.XLOOKUP($E30,parent_events!$B$2:$B$56,parent_events!$G$2:$G$56,"NA")</f>
        <v>2</v>
      </c>
      <c r="K30" t="str">
        <f>_xlfn.XLOOKUP($E30,parent_events!$B$2:$B$56,parent_events!$H$2:$H$56,"NA")</f>
        <v>Rot (1 min)</v>
      </c>
      <c r="L30" t="str">
        <f>_xlfn.XLOOKUP($E30,parent_events!$B$2:$B$56,parent_events!$I$2:$I$56,"NA")</f>
        <v>"5 replicates of 1 minute kick samples"</v>
      </c>
      <c r="M30">
        <f>_xlfn.XLOOKUP($E30,parent_events!$B$2:$B$56,parent_events!$J$2:$J$56,"NA")</f>
        <v>1</v>
      </c>
      <c r="N30" s="23" t="str">
        <f>_xlfn.XLOOKUP($E30,parent_events!$B$2:$B$56,parent_events!$K$2:$K$56,"NA")</f>
        <v>decimalMinute</v>
      </c>
      <c r="P30" t="str">
        <f>_xlfn.XLOOKUP($E30,parent_events!$B$2:$B$56,parent_events!$L$2:$L$56,"NA")</f>
        <v>Roksetvatnet_st1</v>
      </c>
      <c r="Q30" t="str">
        <f>_xlfn.XLOOKUP($P30,localities!$B$2:$B$49,localities!$C$2:$C$49,"NA")</f>
        <v>Roksetvatnet</v>
      </c>
      <c r="R30">
        <f>_xlfn.XLOOKUP($P30,localities!$B$2:$B$49,localities!$D$2:$D$49,"NA")</f>
        <v>1</v>
      </c>
      <c r="S30">
        <f>_xlfn.XLOOKUP($P30,localities!$B$2:$B$49,localities!$E$2:$E$49,"NA")</f>
        <v>63.654024200000002</v>
      </c>
      <c r="T30">
        <f>_xlfn.XLOOKUP($P30,localities!$B$2:$B$49,localities!$F$2:$F$49,"NA")</f>
        <v>10.066431400000001</v>
      </c>
      <c r="U30" t="str">
        <f>_xlfn.XLOOKUP($P30,localities!$B$2:$B$49,localities!$G$2:$G$49,"NA")</f>
        <v>WGS84</v>
      </c>
      <c r="V30">
        <f>_xlfn.XLOOKUP($P30,localities!$B$2:$B$49,localities!$H$2:$H$49,"NA")</f>
        <v>5</v>
      </c>
      <c r="W30" t="str">
        <f>_xlfn.XLOOKUP($P30,localities!$B$2:$B$49,localities!$I$2:$I$49,"NA")</f>
        <v>NOR</v>
      </c>
      <c r="X30" t="str">
        <f>_xlfn.XLOOKUP($P30,localities!$B$2:$B$49,localities!$J$2:$J$49,"NA")</f>
        <v>Norway</v>
      </c>
      <c r="Y30" t="str">
        <f>_xlfn.XLOOKUP($P30,localities!$B$2:$B$49,localities!$K$2:$K$49,"NA")</f>
        <v>Sør-Trøndelag</v>
      </c>
      <c r="Z30" t="str">
        <f>_xlfn.XLOOKUP($P30,localities!$B$2:$B$49,localities!$L$2:$L$49,"NA")</f>
        <v>Indre Fosen</v>
      </c>
    </row>
    <row r="31" spans="2:26" x14ac:dyDescent="0.3">
      <c r="B31" t="s">
        <v>97</v>
      </c>
      <c r="C31" s="23">
        <v>4</v>
      </c>
      <c r="E31" t="s">
        <v>43</v>
      </c>
      <c r="F31" s="19">
        <f>_xlfn.XLOOKUP($E31,parent_events!$B$2:$B$56,parent_events!$C$2:$C$56,"NA")</f>
        <v>45068</v>
      </c>
      <c r="G31">
        <f>_xlfn.XLOOKUP($E31,parent_events!$B$2:$B$56,parent_events!$D$2:$D$56,"NA")</f>
        <v>2023</v>
      </c>
      <c r="H31">
        <f>_xlfn.XLOOKUP($E31,parent_events!$B$2:$B$56,parent_events!$E$2:$E$56,"NA")</f>
        <v>5</v>
      </c>
      <c r="I31">
        <f>_xlfn.XLOOKUP($E31,parent_events!$B$2:$B$56,parent_events!$F$2:$F$56,"NA")</f>
        <v>22</v>
      </c>
      <c r="J31">
        <f>_xlfn.XLOOKUP($E31,parent_events!$B$2:$B$56,parent_events!$G$2:$G$56,"NA")</f>
        <v>2</v>
      </c>
      <c r="K31" t="str">
        <f>_xlfn.XLOOKUP($E31,parent_events!$B$2:$B$56,parent_events!$H$2:$H$56,"NA")</f>
        <v>Rot (1 min)</v>
      </c>
      <c r="L31" t="str">
        <f>_xlfn.XLOOKUP($E31,parent_events!$B$2:$B$56,parent_events!$I$2:$I$56,"NA")</f>
        <v>"5 replicates of 1 minute kick samples"</v>
      </c>
      <c r="M31">
        <f>_xlfn.XLOOKUP($E31,parent_events!$B$2:$B$56,parent_events!$J$2:$J$56,"NA")</f>
        <v>1</v>
      </c>
      <c r="N31" s="23" t="str">
        <f>_xlfn.XLOOKUP($E31,parent_events!$B$2:$B$56,parent_events!$K$2:$K$56,"NA")</f>
        <v>decimalMinute</v>
      </c>
      <c r="P31" t="str">
        <f>_xlfn.XLOOKUP($E31,parent_events!$B$2:$B$56,parent_events!$L$2:$L$56,"NA")</f>
        <v>Roksetvatnet_st1</v>
      </c>
      <c r="Q31" t="str">
        <f>_xlfn.XLOOKUP($P31,localities!$B$2:$B$49,localities!$C$2:$C$49,"NA")</f>
        <v>Roksetvatnet</v>
      </c>
      <c r="R31">
        <f>_xlfn.XLOOKUP($P31,localities!$B$2:$B$49,localities!$D$2:$D$49,"NA")</f>
        <v>1</v>
      </c>
      <c r="S31">
        <f>_xlfn.XLOOKUP($P31,localities!$B$2:$B$49,localities!$E$2:$E$49,"NA")</f>
        <v>63.654024200000002</v>
      </c>
      <c r="T31">
        <f>_xlfn.XLOOKUP($P31,localities!$B$2:$B$49,localities!$F$2:$F$49,"NA")</f>
        <v>10.066431400000001</v>
      </c>
      <c r="U31" t="str">
        <f>_xlfn.XLOOKUP($P31,localities!$B$2:$B$49,localities!$G$2:$G$49,"NA")</f>
        <v>WGS84</v>
      </c>
      <c r="V31">
        <f>_xlfn.XLOOKUP($P31,localities!$B$2:$B$49,localities!$H$2:$H$49,"NA")</f>
        <v>5</v>
      </c>
      <c r="W31" t="str">
        <f>_xlfn.XLOOKUP($P31,localities!$B$2:$B$49,localities!$I$2:$I$49,"NA")</f>
        <v>NOR</v>
      </c>
      <c r="X31" t="str">
        <f>_xlfn.XLOOKUP($P31,localities!$B$2:$B$49,localities!$J$2:$J$49,"NA")</f>
        <v>Norway</v>
      </c>
      <c r="Y31" t="str">
        <f>_xlfn.XLOOKUP($P31,localities!$B$2:$B$49,localities!$K$2:$K$49,"NA")</f>
        <v>Sør-Trøndelag</v>
      </c>
      <c r="Z31" t="str">
        <f>_xlfn.XLOOKUP($P31,localities!$B$2:$B$49,localities!$L$2:$L$49,"NA")</f>
        <v>Indre Fosen</v>
      </c>
    </row>
    <row r="32" spans="2:26" x14ac:dyDescent="0.3">
      <c r="B32" t="s">
        <v>98</v>
      </c>
      <c r="C32" s="23">
        <v>5</v>
      </c>
      <c r="E32" t="s">
        <v>43</v>
      </c>
      <c r="F32" s="19">
        <f>_xlfn.XLOOKUP($E32,parent_events!$B$2:$B$56,parent_events!$C$2:$C$56,"NA")</f>
        <v>45068</v>
      </c>
      <c r="G32">
        <f>_xlfn.XLOOKUP($E32,parent_events!$B$2:$B$56,parent_events!$D$2:$D$56,"NA")</f>
        <v>2023</v>
      </c>
      <c r="H32">
        <f>_xlfn.XLOOKUP($E32,parent_events!$B$2:$B$56,parent_events!$E$2:$E$56,"NA")</f>
        <v>5</v>
      </c>
      <c r="I32">
        <f>_xlfn.XLOOKUP($E32,parent_events!$B$2:$B$56,parent_events!$F$2:$F$56,"NA")</f>
        <v>22</v>
      </c>
      <c r="J32">
        <f>_xlfn.XLOOKUP($E32,parent_events!$B$2:$B$56,parent_events!$G$2:$G$56,"NA")</f>
        <v>2</v>
      </c>
      <c r="K32" t="str">
        <f>_xlfn.XLOOKUP($E32,parent_events!$B$2:$B$56,parent_events!$H$2:$H$56,"NA")</f>
        <v>Rot (1 min)</v>
      </c>
      <c r="L32" t="str">
        <f>_xlfn.XLOOKUP($E32,parent_events!$B$2:$B$56,parent_events!$I$2:$I$56,"NA")</f>
        <v>"5 replicates of 1 minute kick samples"</v>
      </c>
      <c r="M32">
        <f>_xlfn.XLOOKUP($E32,parent_events!$B$2:$B$56,parent_events!$J$2:$J$56,"NA")</f>
        <v>1</v>
      </c>
      <c r="N32" s="23" t="str">
        <f>_xlfn.XLOOKUP($E32,parent_events!$B$2:$B$56,parent_events!$K$2:$K$56,"NA")</f>
        <v>decimalMinute</v>
      </c>
      <c r="P32" t="str">
        <f>_xlfn.XLOOKUP($E32,parent_events!$B$2:$B$56,parent_events!$L$2:$L$56,"NA")</f>
        <v>Roksetvatnet_st1</v>
      </c>
      <c r="Q32" t="str">
        <f>_xlfn.XLOOKUP($P32,localities!$B$2:$B$49,localities!$C$2:$C$49,"NA")</f>
        <v>Roksetvatnet</v>
      </c>
      <c r="R32">
        <f>_xlfn.XLOOKUP($P32,localities!$B$2:$B$49,localities!$D$2:$D$49,"NA")</f>
        <v>1</v>
      </c>
      <c r="S32">
        <f>_xlfn.XLOOKUP($P32,localities!$B$2:$B$49,localities!$E$2:$E$49,"NA")</f>
        <v>63.654024200000002</v>
      </c>
      <c r="T32">
        <f>_xlfn.XLOOKUP($P32,localities!$B$2:$B$49,localities!$F$2:$F$49,"NA")</f>
        <v>10.066431400000001</v>
      </c>
      <c r="U32" t="str">
        <f>_xlfn.XLOOKUP($P32,localities!$B$2:$B$49,localities!$G$2:$G$49,"NA")</f>
        <v>WGS84</v>
      </c>
      <c r="V32">
        <f>_xlfn.XLOOKUP($P32,localities!$B$2:$B$49,localities!$H$2:$H$49,"NA")</f>
        <v>5</v>
      </c>
      <c r="W32" t="str">
        <f>_xlfn.XLOOKUP($P32,localities!$B$2:$B$49,localities!$I$2:$I$49,"NA")</f>
        <v>NOR</v>
      </c>
      <c r="X32" t="str">
        <f>_xlfn.XLOOKUP($P32,localities!$B$2:$B$49,localities!$J$2:$J$49,"NA")</f>
        <v>Norway</v>
      </c>
      <c r="Y32" t="str">
        <f>_xlfn.XLOOKUP($P32,localities!$B$2:$B$49,localities!$K$2:$K$49,"NA")</f>
        <v>Sør-Trøndelag</v>
      </c>
      <c r="Z32" t="str">
        <f>_xlfn.XLOOKUP($P32,localities!$B$2:$B$49,localities!$L$2:$L$49,"NA")</f>
        <v>Indre Fosen</v>
      </c>
    </row>
    <row r="33" spans="2:26" x14ac:dyDescent="0.3">
      <c r="B33" t="s">
        <v>99</v>
      </c>
      <c r="C33" s="23">
        <v>1</v>
      </c>
      <c r="E33" t="s">
        <v>44</v>
      </c>
      <c r="F33" s="19">
        <f>_xlfn.XLOOKUP($E33,parent_events!$B$2:$B$56,parent_events!$C$2:$C$56,"NA")</f>
        <v>45068</v>
      </c>
      <c r="G33">
        <f>_xlfn.XLOOKUP($E33,parent_events!$B$2:$B$56,parent_events!$D$2:$D$56,"NA")</f>
        <v>2023</v>
      </c>
      <c r="H33">
        <f>_xlfn.XLOOKUP($E33,parent_events!$B$2:$B$56,parent_events!$E$2:$E$56,"NA")</f>
        <v>5</v>
      </c>
      <c r="I33">
        <f>_xlfn.XLOOKUP($E33,parent_events!$B$2:$B$56,parent_events!$F$2:$F$56,"NA")</f>
        <v>22</v>
      </c>
      <c r="J33">
        <f>_xlfn.XLOOKUP($E33,parent_events!$B$2:$B$56,parent_events!$G$2:$G$56,"NA")</f>
        <v>2</v>
      </c>
      <c r="K33" t="str">
        <f>_xlfn.XLOOKUP($E33,parent_events!$B$2:$B$56,parent_events!$H$2:$H$56,"NA")</f>
        <v>Rot (1 min)</v>
      </c>
      <c r="L33" t="str">
        <f>_xlfn.XLOOKUP($E33,parent_events!$B$2:$B$56,parent_events!$I$2:$I$56,"NA")</f>
        <v>"5 replicates of 1 minute kick samples"</v>
      </c>
      <c r="M33">
        <f>_xlfn.XLOOKUP($E33,parent_events!$B$2:$B$56,parent_events!$J$2:$J$56,"NA")</f>
        <v>1</v>
      </c>
      <c r="N33" s="23" t="str">
        <f>_xlfn.XLOOKUP($E33,parent_events!$B$2:$B$56,parent_events!$K$2:$K$56,"NA")</f>
        <v>decimalMinute</v>
      </c>
      <c r="P33" t="str">
        <f>_xlfn.XLOOKUP($E33,parent_events!$B$2:$B$56,parent_events!$L$2:$L$56,"NA")</f>
        <v>Barsetvatnet_st1</v>
      </c>
      <c r="Q33" t="str">
        <f>_xlfn.XLOOKUP($P33,localities!$B$2:$B$49,localities!$C$2:$C$49,"NA")</f>
        <v>Barsetvatnet</v>
      </c>
      <c r="R33">
        <f>_xlfn.XLOOKUP($P33,localities!$B$2:$B$49,localities!$D$2:$D$49,"NA")</f>
        <v>1</v>
      </c>
      <c r="S33">
        <f>_xlfn.XLOOKUP($P33,localities!$B$2:$B$49,localities!$E$2:$E$49,"NA")</f>
        <v>63.797785500000003</v>
      </c>
      <c r="T33">
        <f>_xlfn.XLOOKUP($P33,localities!$B$2:$B$49,localities!$F$2:$F$49,"NA")</f>
        <v>9.8281852999999995</v>
      </c>
      <c r="U33" t="str">
        <f>_xlfn.XLOOKUP($P33,localities!$B$2:$B$49,localities!$G$2:$G$49,"NA")</f>
        <v>WGS84</v>
      </c>
      <c r="V33">
        <f>_xlfn.XLOOKUP($P33,localities!$B$2:$B$49,localities!$H$2:$H$49,"NA")</f>
        <v>5</v>
      </c>
      <c r="W33" t="str">
        <f>_xlfn.XLOOKUP($P33,localities!$B$2:$B$49,localities!$I$2:$I$49,"NA")</f>
        <v>NOR</v>
      </c>
      <c r="X33" t="str">
        <f>_xlfn.XLOOKUP($P33,localities!$B$2:$B$49,localities!$J$2:$J$49,"NA")</f>
        <v>Norway</v>
      </c>
      <c r="Y33" t="str">
        <f>_xlfn.XLOOKUP($P33,localities!$B$2:$B$49,localities!$K$2:$K$49,"NA")</f>
        <v>Sør-Trøndelag</v>
      </c>
      <c r="Z33" t="str">
        <f>_xlfn.XLOOKUP($P33,localities!$B$2:$B$49,localities!$L$2:$L$49,"NA")</f>
        <v>Ørland</v>
      </c>
    </row>
    <row r="34" spans="2:26" x14ac:dyDescent="0.3">
      <c r="B34" t="s">
        <v>100</v>
      </c>
      <c r="C34" s="23">
        <v>2</v>
      </c>
      <c r="E34" t="s">
        <v>44</v>
      </c>
      <c r="F34" s="19">
        <f>_xlfn.XLOOKUP($E34,parent_events!$B$2:$B$56,parent_events!$C$2:$C$56,"NA")</f>
        <v>45068</v>
      </c>
      <c r="G34">
        <f>_xlfn.XLOOKUP($E34,parent_events!$B$2:$B$56,parent_events!$D$2:$D$56,"NA")</f>
        <v>2023</v>
      </c>
      <c r="H34">
        <f>_xlfn.XLOOKUP($E34,parent_events!$B$2:$B$56,parent_events!$E$2:$E$56,"NA")</f>
        <v>5</v>
      </c>
      <c r="I34">
        <f>_xlfn.XLOOKUP($E34,parent_events!$B$2:$B$56,parent_events!$F$2:$F$56,"NA")</f>
        <v>22</v>
      </c>
      <c r="J34">
        <f>_xlfn.XLOOKUP($E34,parent_events!$B$2:$B$56,parent_events!$G$2:$G$56,"NA")</f>
        <v>2</v>
      </c>
      <c r="K34" t="str">
        <f>_xlfn.XLOOKUP($E34,parent_events!$B$2:$B$56,parent_events!$H$2:$H$56,"NA")</f>
        <v>Rot (1 min)</v>
      </c>
      <c r="L34" t="str">
        <f>_xlfn.XLOOKUP($E34,parent_events!$B$2:$B$56,parent_events!$I$2:$I$56,"NA")</f>
        <v>"5 replicates of 1 minute kick samples"</v>
      </c>
      <c r="M34">
        <f>_xlfn.XLOOKUP($E34,parent_events!$B$2:$B$56,parent_events!$J$2:$J$56,"NA")</f>
        <v>1</v>
      </c>
      <c r="N34" s="23" t="str">
        <f>_xlfn.XLOOKUP($E34,parent_events!$B$2:$B$56,parent_events!$K$2:$K$56,"NA")</f>
        <v>decimalMinute</v>
      </c>
      <c r="P34" t="str">
        <f>_xlfn.XLOOKUP($E34,parent_events!$B$2:$B$56,parent_events!$L$2:$L$56,"NA")</f>
        <v>Barsetvatnet_st1</v>
      </c>
      <c r="Q34" t="str">
        <f>_xlfn.XLOOKUP($P34,localities!$B$2:$B$49,localities!$C$2:$C$49,"NA")</f>
        <v>Barsetvatnet</v>
      </c>
      <c r="R34">
        <f>_xlfn.XLOOKUP($P34,localities!$B$2:$B$49,localities!$D$2:$D$49,"NA")</f>
        <v>1</v>
      </c>
      <c r="S34">
        <f>_xlfn.XLOOKUP($P34,localities!$B$2:$B$49,localities!$E$2:$E$49,"NA")</f>
        <v>63.797785500000003</v>
      </c>
      <c r="T34">
        <f>_xlfn.XLOOKUP($P34,localities!$B$2:$B$49,localities!$F$2:$F$49,"NA")</f>
        <v>9.8281852999999995</v>
      </c>
      <c r="U34" t="str">
        <f>_xlfn.XLOOKUP($P34,localities!$B$2:$B$49,localities!$G$2:$G$49,"NA")</f>
        <v>WGS84</v>
      </c>
      <c r="V34">
        <f>_xlfn.XLOOKUP($P34,localities!$B$2:$B$49,localities!$H$2:$H$49,"NA")</f>
        <v>5</v>
      </c>
      <c r="W34" t="str">
        <f>_xlfn.XLOOKUP($P34,localities!$B$2:$B$49,localities!$I$2:$I$49,"NA")</f>
        <v>NOR</v>
      </c>
      <c r="X34" t="str">
        <f>_xlfn.XLOOKUP($P34,localities!$B$2:$B$49,localities!$J$2:$J$49,"NA")</f>
        <v>Norway</v>
      </c>
      <c r="Y34" t="str">
        <f>_xlfn.XLOOKUP($P34,localities!$B$2:$B$49,localities!$K$2:$K$49,"NA")</f>
        <v>Sør-Trøndelag</v>
      </c>
      <c r="Z34" t="str">
        <f>_xlfn.XLOOKUP($P34,localities!$B$2:$B$49,localities!$L$2:$L$49,"NA")</f>
        <v>Ørland</v>
      </c>
    </row>
    <row r="35" spans="2:26" x14ac:dyDescent="0.3">
      <c r="B35" t="s">
        <v>101</v>
      </c>
      <c r="C35" s="23">
        <v>3</v>
      </c>
      <c r="E35" t="s">
        <v>44</v>
      </c>
      <c r="F35" s="19">
        <f>_xlfn.XLOOKUP($E35,parent_events!$B$2:$B$56,parent_events!$C$2:$C$56,"NA")</f>
        <v>45068</v>
      </c>
      <c r="G35">
        <f>_xlfn.XLOOKUP($E35,parent_events!$B$2:$B$56,parent_events!$D$2:$D$56,"NA")</f>
        <v>2023</v>
      </c>
      <c r="H35">
        <f>_xlfn.XLOOKUP($E35,parent_events!$B$2:$B$56,parent_events!$E$2:$E$56,"NA")</f>
        <v>5</v>
      </c>
      <c r="I35">
        <f>_xlfn.XLOOKUP($E35,parent_events!$B$2:$B$56,parent_events!$F$2:$F$56,"NA")</f>
        <v>22</v>
      </c>
      <c r="J35">
        <f>_xlfn.XLOOKUP($E35,parent_events!$B$2:$B$56,parent_events!$G$2:$G$56,"NA")</f>
        <v>2</v>
      </c>
      <c r="K35" t="str">
        <f>_xlfn.XLOOKUP($E35,parent_events!$B$2:$B$56,parent_events!$H$2:$H$56,"NA")</f>
        <v>Rot (1 min)</v>
      </c>
      <c r="L35" t="str">
        <f>_xlfn.XLOOKUP($E35,parent_events!$B$2:$B$56,parent_events!$I$2:$I$56,"NA")</f>
        <v>"5 replicates of 1 minute kick samples"</v>
      </c>
      <c r="M35">
        <f>_xlfn.XLOOKUP($E35,parent_events!$B$2:$B$56,parent_events!$J$2:$J$56,"NA")</f>
        <v>1</v>
      </c>
      <c r="N35" s="23" t="str">
        <f>_xlfn.XLOOKUP($E35,parent_events!$B$2:$B$56,parent_events!$K$2:$K$56,"NA")</f>
        <v>decimalMinute</v>
      </c>
      <c r="P35" t="str">
        <f>_xlfn.XLOOKUP($E35,parent_events!$B$2:$B$56,parent_events!$L$2:$L$56,"NA")</f>
        <v>Barsetvatnet_st1</v>
      </c>
      <c r="Q35" t="str">
        <f>_xlfn.XLOOKUP($P35,localities!$B$2:$B$49,localities!$C$2:$C$49,"NA")</f>
        <v>Barsetvatnet</v>
      </c>
      <c r="R35">
        <f>_xlfn.XLOOKUP($P35,localities!$B$2:$B$49,localities!$D$2:$D$49,"NA")</f>
        <v>1</v>
      </c>
      <c r="S35">
        <f>_xlfn.XLOOKUP($P35,localities!$B$2:$B$49,localities!$E$2:$E$49,"NA")</f>
        <v>63.797785500000003</v>
      </c>
      <c r="T35">
        <f>_xlfn.XLOOKUP($P35,localities!$B$2:$B$49,localities!$F$2:$F$49,"NA")</f>
        <v>9.8281852999999995</v>
      </c>
      <c r="U35" t="str">
        <f>_xlfn.XLOOKUP($P35,localities!$B$2:$B$49,localities!$G$2:$G$49,"NA")</f>
        <v>WGS84</v>
      </c>
      <c r="V35">
        <f>_xlfn.XLOOKUP($P35,localities!$B$2:$B$49,localities!$H$2:$H$49,"NA")</f>
        <v>5</v>
      </c>
      <c r="W35" t="str">
        <f>_xlfn.XLOOKUP($P35,localities!$B$2:$B$49,localities!$I$2:$I$49,"NA")</f>
        <v>NOR</v>
      </c>
      <c r="X35" t="str">
        <f>_xlfn.XLOOKUP($P35,localities!$B$2:$B$49,localities!$J$2:$J$49,"NA")</f>
        <v>Norway</v>
      </c>
      <c r="Y35" t="str">
        <f>_xlfn.XLOOKUP($P35,localities!$B$2:$B$49,localities!$K$2:$K$49,"NA")</f>
        <v>Sør-Trøndelag</v>
      </c>
      <c r="Z35" t="str">
        <f>_xlfn.XLOOKUP($P35,localities!$B$2:$B$49,localities!$L$2:$L$49,"NA")</f>
        <v>Ørland</v>
      </c>
    </row>
    <row r="36" spans="2:26" x14ac:dyDescent="0.3">
      <c r="B36" t="s">
        <v>102</v>
      </c>
      <c r="C36" s="23">
        <v>4</v>
      </c>
      <c r="E36" t="s">
        <v>44</v>
      </c>
      <c r="F36" s="19">
        <f>_xlfn.XLOOKUP($E36,parent_events!$B$2:$B$56,parent_events!$C$2:$C$56,"NA")</f>
        <v>45068</v>
      </c>
      <c r="G36">
        <f>_xlfn.XLOOKUP($E36,parent_events!$B$2:$B$56,parent_events!$D$2:$D$56,"NA")</f>
        <v>2023</v>
      </c>
      <c r="H36">
        <f>_xlfn.XLOOKUP($E36,parent_events!$B$2:$B$56,parent_events!$E$2:$E$56,"NA")</f>
        <v>5</v>
      </c>
      <c r="I36">
        <f>_xlfn.XLOOKUP($E36,parent_events!$B$2:$B$56,parent_events!$F$2:$F$56,"NA")</f>
        <v>22</v>
      </c>
      <c r="J36">
        <f>_xlfn.XLOOKUP($E36,parent_events!$B$2:$B$56,parent_events!$G$2:$G$56,"NA")</f>
        <v>2</v>
      </c>
      <c r="K36" t="str">
        <f>_xlfn.XLOOKUP($E36,parent_events!$B$2:$B$56,parent_events!$H$2:$H$56,"NA")</f>
        <v>Rot (1 min)</v>
      </c>
      <c r="L36" t="str">
        <f>_xlfn.XLOOKUP($E36,parent_events!$B$2:$B$56,parent_events!$I$2:$I$56,"NA")</f>
        <v>"5 replicates of 1 minute kick samples"</v>
      </c>
      <c r="M36">
        <f>_xlfn.XLOOKUP($E36,parent_events!$B$2:$B$56,parent_events!$J$2:$J$56,"NA")</f>
        <v>1</v>
      </c>
      <c r="N36" s="23" t="str">
        <f>_xlfn.XLOOKUP($E36,parent_events!$B$2:$B$56,parent_events!$K$2:$K$56,"NA")</f>
        <v>decimalMinute</v>
      </c>
      <c r="P36" t="str">
        <f>_xlfn.XLOOKUP($E36,parent_events!$B$2:$B$56,parent_events!$L$2:$L$56,"NA")</f>
        <v>Barsetvatnet_st1</v>
      </c>
      <c r="Q36" t="str">
        <f>_xlfn.XLOOKUP($P36,localities!$B$2:$B$49,localities!$C$2:$C$49,"NA")</f>
        <v>Barsetvatnet</v>
      </c>
      <c r="R36">
        <f>_xlfn.XLOOKUP($P36,localities!$B$2:$B$49,localities!$D$2:$D$49,"NA")</f>
        <v>1</v>
      </c>
      <c r="S36">
        <f>_xlfn.XLOOKUP($P36,localities!$B$2:$B$49,localities!$E$2:$E$49,"NA")</f>
        <v>63.797785500000003</v>
      </c>
      <c r="T36">
        <f>_xlfn.XLOOKUP($P36,localities!$B$2:$B$49,localities!$F$2:$F$49,"NA")</f>
        <v>9.8281852999999995</v>
      </c>
      <c r="U36" t="str">
        <f>_xlfn.XLOOKUP($P36,localities!$B$2:$B$49,localities!$G$2:$G$49,"NA")</f>
        <v>WGS84</v>
      </c>
      <c r="V36">
        <f>_xlfn.XLOOKUP($P36,localities!$B$2:$B$49,localities!$H$2:$H$49,"NA")</f>
        <v>5</v>
      </c>
      <c r="W36" t="str">
        <f>_xlfn.XLOOKUP($P36,localities!$B$2:$B$49,localities!$I$2:$I$49,"NA")</f>
        <v>NOR</v>
      </c>
      <c r="X36" t="str">
        <f>_xlfn.XLOOKUP($P36,localities!$B$2:$B$49,localities!$J$2:$J$49,"NA")</f>
        <v>Norway</v>
      </c>
      <c r="Y36" t="str">
        <f>_xlfn.XLOOKUP($P36,localities!$B$2:$B$49,localities!$K$2:$K$49,"NA")</f>
        <v>Sør-Trøndelag</v>
      </c>
      <c r="Z36" t="str">
        <f>_xlfn.XLOOKUP($P36,localities!$B$2:$B$49,localities!$L$2:$L$49,"NA")</f>
        <v>Ørland</v>
      </c>
    </row>
    <row r="37" spans="2:26" x14ac:dyDescent="0.3">
      <c r="B37" t="s">
        <v>103</v>
      </c>
      <c r="C37" s="23">
        <v>5</v>
      </c>
      <c r="E37" t="s">
        <v>44</v>
      </c>
      <c r="F37" s="19">
        <f>_xlfn.XLOOKUP($E37,parent_events!$B$2:$B$56,parent_events!$C$2:$C$56,"NA")</f>
        <v>45068</v>
      </c>
      <c r="G37">
        <f>_xlfn.XLOOKUP($E37,parent_events!$B$2:$B$56,parent_events!$D$2:$D$56,"NA")</f>
        <v>2023</v>
      </c>
      <c r="H37">
        <f>_xlfn.XLOOKUP($E37,parent_events!$B$2:$B$56,parent_events!$E$2:$E$56,"NA")</f>
        <v>5</v>
      </c>
      <c r="I37">
        <f>_xlfn.XLOOKUP($E37,parent_events!$B$2:$B$56,parent_events!$F$2:$F$56,"NA")</f>
        <v>22</v>
      </c>
      <c r="J37">
        <f>_xlfn.XLOOKUP($E37,parent_events!$B$2:$B$56,parent_events!$G$2:$G$56,"NA")</f>
        <v>2</v>
      </c>
      <c r="K37" t="str">
        <f>_xlfn.XLOOKUP($E37,parent_events!$B$2:$B$56,parent_events!$H$2:$H$56,"NA")</f>
        <v>Rot (1 min)</v>
      </c>
      <c r="L37" t="str">
        <f>_xlfn.XLOOKUP($E37,parent_events!$B$2:$B$56,parent_events!$I$2:$I$56,"NA")</f>
        <v>"5 replicates of 1 minute kick samples"</v>
      </c>
      <c r="M37">
        <f>_xlfn.XLOOKUP($E37,parent_events!$B$2:$B$56,parent_events!$J$2:$J$56,"NA")</f>
        <v>1</v>
      </c>
      <c r="N37" s="23" t="str">
        <f>_xlfn.XLOOKUP($E37,parent_events!$B$2:$B$56,parent_events!$K$2:$K$56,"NA")</f>
        <v>decimalMinute</v>
      </c>
      <c r="P37" t="str">
        <f>_xlfn.XLOOKUP($E37,parent_events!$B$2:$B$56,parent_events!$L$2:$L$56,"NA")</f>
        <v>Barsetvatnet_st1</v>
      </c>
      <c r="Q37" t="str">
        <f>_xlfn.XLOOKUP($P37,localities!$B$2:$B$49,localities!$C$2:$C$49,"NA")</f>
        <v>Barsetvatnet</v>
      </c>
      <c r="R37">
        <f>_xlfn.XLOOKUP($P37,localities!$B$2:$B$49,localities!$D$2:$D$49,"NA")</f>
        <v>1</v>
      </c>
      <c r="S37">
        <f>_xlfn.XLOOKUP($P37,localities!$B$2:$B$49,localities!$E$2:$E$49,"NA")</f>
        <v>63.797785500000003</v>
      </c>
      <c r="T37">
        <f>_xlfn.XLOOKUP($P37,localities!$B$2:$B$49,localities!$F$2:$F$49,"NA")</f>
        <v>9.8281852999999995</v>
      </c>
      <c r="U37" t="str">
        <f>_xlfn.XLOOKUP($P37,localities!$B$2:$B$49,localities!$G$2:$G$49,"NA")</f>
        <v>WGS84</v>
      </c>
      <c r="V37">
        <f>_xlfn.XLOOKUP($P37,localities!$B$2:$B$49,localities!$H$2:$H$49,"NA")</f>
        <v>5</v>
      </c>
      <c r="W37" t="str">
        <f>_xlfn.XLOOKUP($P37,localities!$B$2:$B$49,localities!$I$2:$I$49,"NA")</f>
        <v>NOR</v>
      </c>
      <c r="X37" t="str">
        <f>_xlfn.XLOOKUP($P37,localities!$B$2:$B$49,localities!$J$2:$J$49,"NA")</f>
        <v>Norway</v>
      </c>
      <c r="Y37" t="str">
        <f>_xlfn.XLOOKUP($P37,localities!$B$2:$B$49,localities!$K$2:$K$49,"NA")</f>
        <v>Sør-Trøndelag</v>
      </c>
      <c r="Z37" t="str">
        <f>_xlfn.XLOOKUP($P37,localities!$B$2:$B$49,localities!$L$2:$L$49,"NA")</f>
        <v>Ørland</v>
      </c>
    </row>
    <row r="38" spans="2:26" x14ac:dyDescent="0.3">
      <c r="B38" t="s">
        <v>104</v>
      </c>
      <c r="C38" s="23">
        <v>1</v>
      </c>
      <c r="E38" t="s">
        <v>45</v>
      </c>
      <c r="F38" s="19">
        <f>_xlfn.XLOOKUP($E38,parent_events!$B$2:$B$56,parent_events!$C$2:$C$56,"NA")</f>
        <v>45068</v>
      </c>
      <c r="G38">
        <f>_xlfn.XLOOKUP($E38,parent_events!$B$2:$B$56,parent_events!$D$2:$D$56,"NA")</f>
        <v>2023</v>
      </c>
      <c r="H38">
        <f>_xlfn.XLOOKUP($E38,parent_events!$B$2:$B$56,parent_events!$E$2:$E$56,"NA")</f>
        <v>5</v>
      </c>
      <c r="I38">
        <f>_xlfn.XLOOKUP($E38,parent_events!$B$2:$B$56,parent_events!$F$2:$F$56,"NA")</f>
        <v>22</v>
      </c>
      <c r="J38">
        <f>_xlfn.XLOOKUP($E38,parent_events!$B$2:$B$56,parent_events!$G$2:$G$56,"NA")</f>
        <v>2</v>
      </c>
      <c r="K38" t="str">
        <f>_xlfn.XLOOKUP($E38,parent_events!$B$2:$B$56,parent_events!$H$2:$H$56,"NA")</f>
        <v>Rot (1 min)</v>
      </c>
      <c r="L38" t="str">
        <f>_xlfn.XLOOKUP($E38,parent_events!$B$2:$B$56,parent_events!$I$2:$I$56,"NA")</f>
        <v>"5 replicates of 1 minute kick samples"</v>
      </c>
      <c r="M38">
        <f>_xlfn.XLOOKUP($E38,parent_events!$B$2:$B$56,parent_events!$J$2:$J$56,"NA")</f>
        <v>1</v>
      </c>
      <c r="N38" s="23" t="str">
        <f>_xlfn.XLOOKUP($E38,parent_events!$B$2:$B$56,parent_events!$K$2:$K$56,"NA")</f>
        <v>decimalMinute</v>
      </c>
      <c r="P38" t="str">
        <f>_xlfn.XLOOKUP($E38,parent_events!$B$2:$B$56,parent_events!$L$2:$L$56,"NA")</f>
        <v>Gjoljavatnet_st1</v>
      </c>
      <c r="Q38" t="str">
        <f>_xlfn.XLOOKUP($P38,localities!$B$2:$B$49,localities!$C$2:$C$49,"NA")</f>
        <v>Gjøljavatnet</v>
      </c>
      <c r="R38">
        <f>_xlfn.XLOOKUP($P38,localities!$B$2:$B$49,localities!$D$2:$D$49,"NA")</f>
        <v>1</v>
      </c>
      <c r="S38">
        <f>_xlfn.XLOOKUP($P38,localities!$B$2:$B$49,localities!$E$2:$E$49,"NA")</f>
        <v>63.789260900000002</v>
      </c>
      <c r="T38">
        <f>_xlfn.XLOOKUP($P38,localities!$B$2:$B$49,localities!$F$2:$F$49,"NA")</f>
        <v>10.0251734</v>
      </c>
      <c r="U38" t="str">
        <f>_xlfn.XLOOKUP($P38,localities!$B$2:$B$49,localities!$G$2:$G$49,"NA")</f>
        <v>WGS84</v>
      </c>
      <c r="V38">
        <f>_xlfn.XLOOKUP($P38,localities!$B$2:$B$49,localities!$H$2:$H$49,"NA")</f>
        <v>5</v>
      </c>
      <c r="W38" t="str">
        <f>_xlfn.XLOOKUP($P38,localities!$B$2:$B$49,localities!$I$2:$I$49,"NA")</f>
        <v>NOR</v>
      </c>
      <c r="X38" t="str">
        <f>_xlfn.XLOOKUP($P38,localities!$B$2:$B$49,localities!$J$2:$J$49,"NA")</f>
        <v>Norway</v>
      </c>
      <c r="Y38" t="str">
        <f>_xlfn.XLOOKUP($P38,localities!$B$2:$B$49,localities!$K$2:$K$49,"NA")</f>
        <v>Sør-Trøndelag</v>
      </c>
      <c r="Z38" t="str">
        <f>_xlfn.XLOOKUP($P38,localities!$B$2:$B$49,localities!$L$2:$L$49,"NA")</f>
        <v>Indre Fosen</v>
      </c>
    </row>
    <row r="39" spans="2:26" x14ac:dyDescent="0.3">
      <c r="B39" t="s">
        <v>105</v>
      </c>
      <c r="C39" s="23">
        <v>2</v>
      </c>
      <c r="E39" t="s">
        <v>45</v>
      </c>
      <c r="F39" s="19">
        <f>_xlfn.XLOOKUP($E39,parent_events!$B$2:$B$56,parent_events!$C$2:$C$56,"NA")</f>
        <v>45068</v>
      </c>
      <c r="G39">
        <f>_xlfn.XLOOKUP($E39,parent_events!$B$2:$B$56,parent_events!$D$2:$D$56,"NA")</f>
        <v>2023</v>
      </c>
      <c r="H39">
        <f>_xlfn.XLOOKUP($E39,parent_events!$B$2:$B$56,parent_events!$E$2:$E$56,"NA")</f>
        <v>5</v>
      </c>
      <c r="I39">
        <f>_xlfn.XLOOKUP($E39,parent_events!$B$2:$B$56,parent_events!$F$2:$F$56,"NA")</f>
        <v>22</v>
      </c>
      <c r="J39">
        <f>_xlfn.XLOOKUP($E39,parent_events!$B$2:$B$56,parent_events!$G$2:$G$56,"NA")</f>
        <v>2</v>
      </c>
      <c r="K39" t="str">
        <f>_xlfn.XLOOKUP($E39,parent_events!$B$2:$B$56,parent_events!$H$2:$H$56,"NA")</f>
        <v>Rot (1 min)</v>
      </c>
      <c r="L39" t="str">
        <f>_xlfn.XLOOKUP($E39,parent_events!$B$2:$B$56,parent_events!$I$2:$I$56,"NA")</f>
        <v>"5 replicates of 1 minute kick samples"</v>
      </c>
      <c r="M39">
        <f>_xlfn.XLOOKUP($E39,parent_events!$B$2:$B$56,parent_events!$J$2:$J$56,"NA")</f>
        <v>1</v>
      </c>
      <c r="N39" s="23" t="str">
        <f>_xlfn.XLOOKUP($E39,parent_events!$B$2:$B$56,parent_events!$K$2:$K$56,"NA")</f>
        <v>decimalMinute</v>
      </c>
      <c r="P39" t="str">
        <f>_xlfn.XLOOKUP($E39,parent_events!$B$2:$B$56,parent_events!$L$2:$L$56,"NA")</f>
        <v>Gjoljavatnet_st1</v>
      </c>
      <c r="Q39" t="str">
        <f>_xlfn.XLOOKUP($P39,localities!$B$2:$B$49,localities!$C$2:$C$49,"NA")</f>
        <v>Gjøljavatnet</v>
      </c>
      <c r="R39">
        <f>_xlfn.XLOOKUP($P39,localities!$B$2:$B$49,localities!$D$2:$D$49,"NA")</f>
        <v>1</v>
      </c>
      <c r="S39">
        <f>_xlfn.XLOOKUP($P39,localities!$B$2:$B$49,localities!$E$2:$E$49,"NA")</f>
        <v>63.789260900000002</v>
      </c>
      <c r="T39">
        <f>_xlfn.XLOOKUP($P39,localities!$B$2:$B$49,localities!$F$2:$F$49,"NA")</f>
        <v>10.0251734</v>
      </c>
      <c r="U39" t="str">
        <f>_xlfn.XLOOKUP($P39,localities!$B$2:$B$49,localities!$G$2:$G$49,"NA")</f>
        <v>WGS84</v>
      </c>
      <c r="V39">
        <f>_xlfn.XLOOKUP($P39,localities!$B$2:$B$49,localities!$H$2:$H$49,"NA")</f>
        <v>5</v>
      </c>
      <c r="W39" t="str">
        <f>_xlfn.XLOOKUP($P39,localities!$B$2:$B$49,localities!$I$2:$I$49,"NA")</f>
        <v>NOR</v>
      </c>
      <c r="X39" t="str">
        <f>_xlfn.XLOOKUP($P39,localities!$B$2:$B$49,localities!$J$2:$J$49,"NA")</f>
        <v>Norway</v>
      </c>
      <c r="Y39" t="str">
        <f>_xlfn.XLOOKUP($P39,localities!$B$2:$B$49,localities!$K$2:$K$49,"NA")</f>
        <v>Sør-Trøndelag</v>
      </c>
      <c r="Z39" t="str">
        <f>_xlfn.XLOOKUP($P39,localities!$B$2:$B$49,localities!$L$2:$L$49,"NA")</f>
        <v>Indre Fosen</v>
      </c>
    </row>
    <row r="40" spans="2:26" x14ac:dyDescent="0.3">
      <c r="B40" t="s">
        <v>106</v>
      </c>
      <c r="C40" s="23">
        <v>3</v>
      </c>
      <c r="E40" t="s">
        <v>45</v>
      </c>
      <c r="F40" s="19">
        <f>_xlfn.XLOOKUP($E40,parent_events!$B$2:$B$56,parent_events!$C$2:$C$56,"NA")</f>
        <v>45068</v>
      </c>
      <c r="G40">
        <f>_xlfn.XLOOKUP($E40,parent_events!$B$2:$B$56,parent_events!$D$2:$D$56,"NA")</f>
        <v>2023</v>
      </c>
      <c r="H40">
        <f>_xlfn.XLOOKUP($E40,parent_events!$B$2:$B$56,parent_events!$E$2:$E$56,"NA")</f>
        <v>5</v>
      </c>
      <c r="I40">
        <f>_xlfn.XLOOKUP($E40,parent_events!$B$2:$B$56,parent_events!$F$2:$F$56,"NA")</f>
        <v>22</v>
      </c>
      <c r="J40">
        <f>_xlfn.XLOOKUP($E40,parent_events!$B$2:$B$56,parent_events!$G$2:$G$56,"NA")</f>
        <v>2</v>
      </c>
      <c r="K40" t="str">
        <f>_xlfn.XLOOKUP($E40,parent_events!$B$2:$B$56,parent_events!$H$2:$H$56,"NA")</f>
        <v>Rot (1 min)</v>
      </c>
      <c r="L40" t="str">
        <f>_xlfn.XLOOKUP($E40,parent_events!$B$2:$B$56,parent_events!$I$2:$I$56,"NA")</f>
        <v>"5 replicates of 1 minute kick samples"</v>
      </c>
      <c r="M40">
        <f>_xlfn.XLOOKUP($E40,parent_events!$B$2:$B$56,parent_events!$J$2:$J$56,"NA")</f>
        <v>1</v>
      </c>
      <c r="N40" s="23" t="str">
        <f>_xlfn.XLOOKUP($E40,parent_events!$B$2:$B$56,parent_events!$K$2:$K$56,"NA")</f>
        <v>decimalMinute</v>
      </c>
      <c r="P40" t="str">
        <f>_xlfn.XLOOKUP($E40,parent_events!$B$2:$B$56,parent_events!$L$2:$L$56,"NA")</f>
        <v>Gjoljavatnet_st1</v>
      </c>
      <c r="Q40" t="str">
        <f>_xlfn.XLOOKUP($P40,localities!$B$2:$B$49,localities!$C$2:$C$49,"NA")</f>
        <v>Gjøljavatnet</v>
      </c>
      <c r="R40">
        <f>_xlfn.XLOOKUP($P40,localities!$B$2:$B$49,localities!$D$2:$D$49,"NA")</f>
        <v>1</v>
      </c>
      <c r="S40">
        <f>_xlfn.XLOOKUP($P40,localities!$B$2:$B$49,localities!$E$2:$E$49,"NA")</f>
        <v>63.789260900000002</v>
      </c>
      <c r="T40">
        <f>_xlfn.XLOOKUP($P40,localities!$B$2:$B$49,localities!$F$2:$F$49,"NA")</f>
        <v>10.0251734</v>
      </c>
      <c r="U40" t="str">
        <f>_xlfn.XLOOKUP($P40,localities!$B$2:$B$49,localities!$G$2:$G$49,"NA")</f>
        <v>WGS84</v>
      </c>
      <c r="V40">
        <f>_xlfn.XLOOKUP($P40,localities!$B$2:$B$49,localities!$H$2:$H$49,"NA")</f>
        <v>5</v>
      </c>
      <c r="W40" t="str">
        <f>_xlfn.XLOOKUP($P40,localities!$B$2:$B$49,localities!$I$2:$I$49,"NA")</f>
        <v>NOR</v>
      </c>
      <c r="X40" t="str">
        <f>_xlfn.XLOOKUP($P40,localities!$B$2:$B$49,localities!$J$2:$J$49,"NA")</f>
        <v>Norway</v>
      </c>
      <c r="Y40" t="str">
        <f>_xlfn.XLOOKUP($P40,localities!$B$2:$B$49,localities!$K$2:$K$49,"NA")</f>
        <v>Sør-Trøndelag</v>
      </c>
      <c r="Z40" t="str">
        <f>_xlfn.XLOOKUP($P40,localities!$B$2:$B$49,localities!$L$2:$L$49,"NA")</f>
        <v>Indre Fosen</v>
      </c>
    </row>
    <row r="41" spans="2:26" x14ac:dyDescent="0.3">
      <c r="B41" t="s">
        <v>107</v>
      </c>
      <c r="C41" s="23">
        <v>4</v>
      </c>
      <c r="E41" t="s">
        <v>45</v>
      </c>
      <c r="F41" s="19">
        <f>_xlfn.XLOOKUP($E41,parent_events!$B$2:$B$56,parent_events!$C$2:$C$56,"NA")</f>
        <v>45068</v>
      </c>
      <c r="G41">
        <f>_xlfn.XLOOKUP($E41,parent_events!$B$2:$B$56,parent_events!$D$2:$D$56,"NA")</f>
        <v>2023</v>
      </c>
      <c r="H41">
        <f>_xlfn.XLOOKUP($E41,parent_events!$B$2:$B$56,parent_events!$E$2:$E$56,"NA")</f>
        <v>5</v>
      </c>
      <c r="I41">
        <f>_xlfn.XLOOKUP($E41,parent_events!$B$2:$B$56,parent_events!$F$2:$F$56,"NA")</f>
        <v>22</v>
      </c>
      <c r="J41">
        <f>_xlfn.XLOOKUP($E41,parent_events!$B$2:$B$56,parent_events!$G$2:$G$56,"NA")</f>
        <v>2</v>
      </c>
      <c r="K41" t="str">
        <f>_xlfn.XLOOKUP($E41,parent_events!$B$2:$B$56,parent_events!$H$2:$H$56,"NA")</f>
        <v>Rot (1 min)</v>
      </c>
      <c r="L41" t="str">
        <f>_xlfn.XLOOKUP($E41,parent_events!$B$2:$B$56,parent_events!$I$2:$I$56,"NA")</f>
        <v>"5 replicates of 1 minute kick samples"</v>
      </c>
      <c r="M41">
        <f>_xlfn.XLOOKUP($E41,parent_events!$B$2:$B$56,parent_events!$J$2:$J$56,"NA")</f>
        <v>1</v>
      </c>
      <c r="N41" s="23" t="str">
        <f>_xlfn.XLOOKUP($E41,parent_events!$B$2:$B$56,parent_events!$K$2:$K$56,"NA")</f>
        <v>decimalMinute</v>
      </c>
      <c r="P41" t="str">
        <f>_xlfn.XLOOKUP($E41,parent_events!$B$2:$B$56,parent_events!$L$2:$L$56,"NA")</f>
        <v>Gjoljavatnet_st1</v>
      </c>
      <c r="Q41" t="str">
        <f>_xlfn.XLOOKUP($P41,localities!$B$2:$B$49,localities!$C$2:$C$49,"NA")</f>
        <v>Gjøljavatnet</v>
      </c>
      <c r="R41">
        <f>_xlfn.XLOOKUP($P41,localities!$B$2:$B$49,localities!$D$2:$D$49,"NA")</f>
        <v>1</v>
      </c>
      <c r="S41">
        <f>_xlfn.XLOOKUP($P41,localities!$B$2:$B$49,localities!$E$2:$E$49,"NA")</f>
        <v>63.789260900000002</v>
      </c>
      <c r="T41">
        <f>_xlfn.XLOOKUP($P41,localities!$B$2:$B$49,localities!$F$2:$F$49,"NA")</f>
        <v>10.0251734</v>
      </c>
      <c r="U41" t="str">
        <f>_xlfn.XLOOKUP($P41,localities!$B$2:$B$49,localities!$G$2:$G$49,"NA")</f>
        <v>WGS84</v>
      </c>
      <c r="V41">
        <f>_xlfn.XLOOKUP($P41,localities!$B$2:$B$49,localities!$H$2:$H$49,"NA")</f>
        <v>5</v>
      </c>
      <c r="W41" t="str">
        <f>_xlfn.XLOOKUP($P41,localities!$B$2:$B$49,localities!$I$2:$I$49,"NA")</f>
        <v>NOR</v>
      </c>
      <c r="X41" t="str">
        <f>_xlfn.XLOOKUP($P41,localities!$B$2:$B$49,localities!$J$2:$J$49,"NA")</f>
        <v>Norway</v>
      </c>
      <c r="Y41" t="str">
        <f>_xlfn.XLOOKUP($P41,localities!$B$2:$B$49,localities!$K$2:$K$49,"NA")</f>
        <v>Sør-Trøndelag</v>
      </c>
      <c r="Z41" t="str">
        <f>_xlfn.XLOOKUP($P41,localities!$B$2:$B$49,localities!$L$2:$L$49,"NA")</f>
        <v>Indre Fosen</v>
      </c>
    </row>
    <row r="42" spans="2:26" x14ac:dyDescent="0.3">
      <c r="B42" t="s">
        <v>108</v>
      </c>
      <c r="C42" s="23">
        <v>5</v>
      </c>
      <c r="E42" t="s">
        <v>45</v>
      </c>
      <c r="F42" s="19">
        <f>_xlfn.XLOOKUP($E42,parent_events!$B$2:$B$56,parent_events!$C$2:$C$56,"NA")</f>
        <v>45068</v>
      </c>
      <c r="G42">
        <f>_xlfn.XLOOKUP($E42,parent_events!$B$2:$B$56,parent_events!$D$2:$D$56,"NA")</f>
        <v>2023</v>
      </c>
      <c r="H42">
        <f>_xlfn.XLOOKUP($E42,parent_events!$B$2:$B$56,parent_events!$E$2:$E$56,"NA")</f>
        <v>5</v>
      </c>
      <c r="I42">
        <f>_xlfn.XLOOKUP($E42,parent_events!$B$2:$B$56,parent_events!$F$2:$F$56,"NA")</f>
        <v>22</v>
      </c>
      <c r="J42">
        <f>_xlfn.XLOOKUP($E42,parent_events!$B$2:$B$56,parent_events!$G$2:$G$56,"NA")</f>
        <v>2</v>
      </c>
      <c r="K42" t="str">
        <f>_xlfn.XLOOKUP($E42,parent_events!$B$2:$B$56,parent_events!$H$2:$H$56,"NA")</f>
        <v>Rot (1 min)</v>
      </c>
      <c r="L42" t="str">
        <f>_xlfn.XLOOKUP($E42,parent_events!$B$2:$B$56,parent_events!$I$2:$I$56,"NA")</f>
        <v>"5 replicates of 1 minute kick samples"</v>
      </c>
      <c r="M42">
        <f>_xlfn.XLOOKUP($E42,parent_events!$B$2:$B$56,parent_events!$J$2:$J$56,"NA")</f>
        <v>1</v>
      </c>
      <c r="N42" s="23" t="str">
        <f>_xlfn.XLOOKUP($E42,parent_events!$B$2:$B$56,parent_events!$K$2:$K$56,"NA")</f>
        <v>decimalMinute</v>
      </c>
      <c r="P42" t="str">
        <f>_xlfn.XLOOKUP($E42,parent_events!$B$2:$B$56,parent_events!$L$2:$L$56,"NA")</f>
        <v>Gjoljavatnet_st1</v>
      </c>
      <c r="Q42" t="str">
        <f>_xlfn.XLOOKUP($P42,localities!$B$2:$B$49,localities!$C$2:$C$49,"NA")</f>
        <v>Gjøljavatnet</v>
      </c>
      <c r="R42">
        <f>_xlfn.XLOOKUP($P42,localities!$B$2:$B$49,localities!$D$2:$D$49,"NA")</f>
        <v>1</v>
      </c>
      <c r="S42">
        <f>_xlfn.XLOOKUP($P42,localities!$B$2:$B$49,localities!$E$2:$E$49,"NA")</f>
        <v>63.789260900000002</v>
      </c>
      <c r="T42">
        <f>_xlfn.XLOOKUP($P42,localities!$B$2:$B$49,localities!$F$2:$F$49,"NA")</f>
        <v>10.0251734</v>
      </c>
      <c r="U42" t="str">
        <f>_xlfn.XLOOKUP($P42,localities!$B$2:$B$49,localities!$G$2:$G$49,"NA")</f>
        <v>WGS84</v>
      </c>
      <c r="V42">
        <f>_xlfn.XLOOKUP($P42,localities!$B$2:$B$49,localities!$H$2:$H$49,"NA")</f>
        <v>5</v>
      </c>
      <c r="W42" t="str">
        <f>_xlfn.XLOOKUP($P42,localities!$B$2:$B$49,localities!$I$2:$I$49,"NA")</f>
        <v>NOR</v>
      </c>
      <c r="X42" t="str">
        <f>_xlfn.XLOOKUP($P42,localities!$B$2:$B$49,localities!$J$2:$J$49,"NA")</f>
        <v>Norway</v>
      </c>
      <c r="Y42" t="str">
        <f>_xlfn.XLOOKUP($P42,localities!$B$2:$B$49,localities!$K$2:$K$49,"NA")</f>
        <v>Sør-Trøndelag</v>
      </c>
      <c r="Z42" t="str">
        <f>_xlfn.XLOOKUP($P42,localities!$B$2:$B$49,localities!$L$2:$L$49,"NA")</f>
        <v>Indre Fosen</v>
      </c>
    </row>
    <row r="43" spans="2:26" x14ac:dyDescent="0.3">
      <c r="B43" t="s">
        <v>109</v>
      </c>
      <c r="C43" s="23">
        <v>1</v>
      </c>
      <c r="E43" t="s">
        <v>46</v>
      </c>
      <c r="F43" s="19">
        <f>_xlfn.XLOOKUP($E43,parent_events!$B$2:$B$56,parent_events!$C$2:$C$56,"NA")</f>
        <v>45068</v>
      </c>
      <c r="G43">
        <f>_xlfn.XLOOKUP($E43,parent_events!$B$2:$B$56,parent_events!$D$2:$D$56,"NA")</f>
        <v>2023</v>
      </c>
      <c r="H43">
        <f>_xlfn.XLOOKUP($E43,parent_events!$B$2:$B$56,parent_events!$E$2:$E$56,"NA")</f>
        <v>5</v>
      </c>
      <c r="I43">
        <f>_xlfn.XLOOKUP($E43,parent_events!$B$2:$B$56,parent_events!$F$2:$F$56,"NA")</f>
        <v>22</v>
      </c>
      <c r="J43">
        <f>_xlfn.XLOOKUP($E43,parent_events!$B$2:$B$56,parent_events!$G$2:$G$56,"NA")</f>
        <v>2</v>
      </c>
      <c r="K43" t="str">
        <f>_xlfn.XLOOKUP($E43,parent_events!$B$2:$B$56,parent_events!$H$2:$H$56,"NA")</f>
        <v>Rot (1 min)</v>
      </c>
      <c r="L43" t="str">
        <f>_xlfn.XLOOKUP($E43,parent_events!$B$2:$B$56,parent_events!$I$2:$I$56,"NA")</f>
        <v>"5 replicates of 1 minute kick samples"</v>
      </c>
      <c r="M43">
        <f>_xlfn.XLOOKUP($E43,parent_events!$B$2:$B$56,parent_events!$J$2:$J$56,"NA")</f>
        <v>1</v>
      </c>
      <c r="N43" s="23" t="str">
        <f>_xlfn.XLOOKUP($E43,parent_events!$B$2:$B$56,parent_events!$K$2:$K$56,"NA")</f>
        <v>decimalMinute</v>
      </c>
      <c r="P43" t="str">
        <f>_xlfn.XLOOKUP($E43,parent_events!$B$2:$B$56,parent_events!$L$2:$L$56,"NA")</f>
        <v>Storvatnet_st1</v>
      </c>
      <c r="Q43" t="str">
        <f>_xlfn.XLOOKUP($P43,localities!$B$2:$B$49,localities!$C$2:$C$49,"NA")</f>
        <v>Storvatnet</v>
      </c>
      <c r="R43">
        <f>_xlfn.XLOOKUP($P43,localities!$B$2:$B$49,localities!$D$2:$D$49,"NA")</f>
        <v>1</v>
      </c>
      <c r="S43">
        <f>_xlfn.XLOOKUP($P43,localities!$B$2:$B$49,localities!$E$2:$E$49,"NA")</f>
        <v>63.621177600000003</v>
      </c>
      <c r="T43">
        <f>_xlfn.XLOOKUP($P43,localities!$B$2:$B$49,localities!$F$2:$F$49,"NA")</f>
        <v>10.2333759</v>
      </c>
      <c r="U43" t="str">
        <f>_xlfn.XLOOKUP($P43,localities!$B$2:$B$49,localities!$G$2:$G$49,"NA")</f>
        <v>WGS84</v>
      </c>
      <c r="V43">
        <f>_xlfn.XLOOKUP($P43,localities!$B$2:$B$49,localities!$H$2:$H$49,"NA")</f>
        <v>5</v>
      </c>
      <c r="W43" t="str">
        <f>_xlfn.XLOOKUP($P43,localities!$B$2:$B$49,localities!$I$2:$I$49,"NA")</f>
        <v>NOR</v>
      </c>
      <c r="X43" t="str">
        <f>_xlfn.XLOOKUP($P43,localities!$B$2:$B$49,localities!$J$2:$J$49,"NA")</f>
        <v>Norway</v>
      </c>
      <c r="Y43" t="str">
        <f>_xlfn.XLOOKUP($P43,localities!$B$2:$B$49,localities!$K$2:$K$49,"NA")</f>
        <v>Nord-Trøndelag</v>
      </c>
      <c r="Z43" t="str">
        <f>_xlfn.XLOOKUP($P43,localities!$B$2:$B$49,localities!$L$2:$L$49,"NA")</f>
        <v>Indre Fosen</v>
      </c>
    </row>
    <row r="44" spans="2:26" x14ac:dyDescent="0.3">
      <c r="B44" t="s">
        <v>110</v>
      </c>
      <c r="C44" s="23">
        <v>2</v>
      </c>
      <c r="E44" t="s">
        <v>46</v>
      </c>
      <c r="F44" s="19">
        <f>_xlfn.XLOOKUP($E44,parent_events!$B$2:$B$56,parent_events!$C$2:$C$56,"NA")</f>
        <v>45068</v>
      </c>
      <c r="G44">
        <f>_xlfn.XLOOKUP($E44,parent_events!$B$2:$B$56,parent_events!$D$2:$D$56,"NA")</f>
        <v>2023</v>
      </c>
      <c r="H44">
        <f>_xlfn.XLOOKUP($E44,parent_events!$B$2:$B$56,parent_events!$E$2:$E$56,"NA")</f>
        <v>5</v>
      </c>
      <c r="I44">
        <f>_xlfn.XLOOKUP($E44,parent_events!$B$2:$B$56,parent_events!$F$2:$F$56,"NA")</f>
        <v>22</v>
      </c>
      <c r="J44">
        <f>_xlfn.XLOOKUP($E44,parent_events!$B$2:$B$56,parent_events!$G$2:$G$56,"NA")</f>
        <v>2</v>
      </c>
      <c r="K44" t="str">
        <f>_xlfn.XLOOKUP($E44,parent_events!$B$2:$B$56,parent_events!$H$2:$H$56,"NA")</f>
        <v>Rot (1 min)</v>
      </c>
      <c r="L44" t="str">
        <f>_xlfn.XLOOKUP($E44,parent_events!$B$2:$B$56,parent_events!$I$2:$I$56,"NA")</f>
        <v>"5 replicates of 1 minute kick samples"</v>
      </c>
      <c r="M44">
        <f>_xlfn.XLOOKUP($E44,parent_events!$B$2:$B$56,parent_events!$J$2:$J$56,"NA")</f>
        <v>1</v>
      </c>
      <c r="N44" s="23" t="str">
        <f>_xlfn.XLOOKUP($E44,parent_events!$B$2:$B$56,parent_events!$K$2:$K$56,"NA")</f>
        <v>decimalMinute</v>
      </c>
      <c r="P44" t="str">
        <f>_xlfn.XLOOKUP($E44,parent_events!$B$2:$B$56,parent_events!$L$2:$L$56,"NA")</f>
        <v>Storvatnet_st1</v>
      </c>
      <c r="Q44" t="str">
        <f>_xlfn.XLOOKUP($P44,localities!$B$2:$B$49,localities!$C$2:$C$49,"NA")</f>
        <v>Storvatnet</v>
      </c>
      <c r="R44">
        <f>_xlfn.XLOOKUP($P44,localities!$B$2:$B$49,localities!$D$2:$D$49,"NA")</f>
        <v>1</v>
      </c>
      <c r="S44">
        <f>_xlfn.XLOOKUP($P44,localities!$B$2:$B$49,localities!$E$2:$E$49,"NA")</f>
        <v>63.621177600000003</v>
      </c>
      <c r="T44">
        <f>_xlfn.XLOOKUP($P44,localities!$B$2:$B$49,localities!$F$2:$F$49,"NA")</f>
        <v>10.2333759</v>
      </c>
      <c r="U44" t="str">
        <f>_xlfn.XLOOKUP($P44,localities!$B$2:$B$49,localities!$G$2:$G$49,"NA")</f>
        <v>WGS84</v>
      </c>
      <c r="V44">
        <f>_xlfn.XLOOKUP($P44,localities!$B$2:$B$49,localities!$H$2:$H$49,"NA")</f>
        <v>5</v>
      </c>
      <c r="W44" t="str">
        <f>_xlfn.XLOOKUP($P44,localities!$B$2:$B$49,localities!$I$2:$I$49,"NA")</f>
        <v>NOR</v>
      </c>
      <c r="X44" t="str">
        <f>_xlfn.XLOOKUP($P44,localities!$B$2:$B$49,localities!$J$2:$J$49,"NA")</f>
        <v>Norway</v>
      </c>
      <c r="Y44" t="str">
        <f>_xlfn.XLOOKUP($P44,localities!$B$2:$B$49,localities!$K$2:$K$49,"NA")</f>
        <v>Nord-Trøndelag</v>
      </c>
      <c r="Z44" t="str">
        <f>_xlfn.XLOOKUP($P44,localities!$B$2:$B$49,localities!$L$2:$L$49,"NA")</f>
        <v>Indre Fosen</v>
      </c>
    </row>
    <row r="45" spans="2:26" x14ac:dyDescent="0.3">
      <c r="B45" t="s">
        <v>111</v>
      </c>
      <c r="C45" s="23">
        <v>3</v>
      </c>
      <c r="E45" t="s">
        <v>46</v>
      </c>
      <c r="F45" s="19">
        <f>_xlfn.XLOOKUP($E45,parent_events!$B$2:$B$56,parent_events!$C$2:$C$56,"NA")</f>
        <v>45068</v>
      </c>
      <c r="G45">
        <f>_xlfn.XLOOKUP($E45,parent_events!$B$2:$B$56,parent_events!$D$2:$D$56,"NA")</f>
        <v>2023</v>
      </c>
      <c r="H45">
        <f>_xlfn.XLOOKUP($E45,parent_events!$B$2:$B$56,parent_events!$E$2:$E$56,"NA")</f>
        <v>5</v>
      </c>
      <c r="I45">
        <f>_xlfn.XLOOKUP($E45,parent_events!$B$2:$B$56,parent_events!$F$2:$F$56,"NA")</f>
        <v>22</v>
      </c>
      <c r="J45">
        <f>_xlfn.XLOOKUP($E45,parent_events!$B$2:$B$56,parent_events!$G$2:$G$56,"NA")</f>
        <v>2</v>
      </c>
      <c r="K45" t="str">
        <f>_xlfn.XLOOKUP($E45,parent_events!$B$2:$B$56,parent_events!$H$2:$H$56,"NA")</f>
        <v>Rot (1 min)</v>
      </c>
      <c r="L45" t="str">
        <f>_xlfn.XLOOKUP($E45,parent_events!$B$2:$B$56,parent_events!$I$2:$I$56,"NA")</f>
        <v>"5 replicates of 1 minute kick samples"</v>
      </c>
      <c r="M45">
        <f>_xlfn.XLOOKUP($E45,parent_events!$B$2:$B$56,parent_events!$J$2:$J$56,"NA")</f>
        <v>1</v>
      </c>
      <c r="N45" s="23" t="str">
        <f>_xlfn.XLOOKUP($E45,parent_events!$B$2:$B$56,parent_events!$K$2:$K$56,"NA")</f>
        <v>decimalMinute</v>
      </c>
      <c r="P45" t="str">
        <f>_xlfn.XLOOKUP($E45,parent_events!$B$2:$B$56,parent_events!$L$2:$L$56,"NA")</f>
        <v>Storvatnet_st1</v>
      </c>
      <c r="Q45" t="str">
        <f>_xlfn.XLOOKUP($P45,localities!$B$2:$B$49,localities!$C$2:$C$49,"NA")</f>
        <v>Storvatnet</v>
      </c>
      <c r="R45">
        <f>_xlfn.XLOOKUP($P45,localities!$B$2:$B$49,localities!$D$2:$D$49,"NA")</f>
        <v>1</v>
      </c>
      <c r="S45">
        <f>_xlfn.XLOOKUP($P45,localities!$B$2:$B$49,localities!$E$2:$E$49,"NA")</f>
        <v>63.621177600000003</v>
      </c>
      <c r="T45">
        <f>_xlfn.XLOOKUP($P45,localities!$B$2:$B$49,localities!$F$2:$F$49,"NA")</f>
        <v>10.2333759</v>
      </c>
      <c r="U45" t="str">
        <f>_xlfn.XLOOKUP($P45,localities!$B$2:$B$49,localities!$G$2:$G$49,"NA")</f>
        <v>WGS84</v>
      </c>
      <c r="V45">
        <f>_xlfn.XLOOKUP($P45,localities!$B$2:$B$49,localities!$H$2:$H$49,"NA")</f>
        <v>5</v>
      </c>
      <c r="W45" t="str">
        <f>_xlfn.XLOOKUP($P45,localities!$B$2:$B$49,localities!$I$2:$I$49,"NA")</f>
        <v>NOR</v>
      </c>
      <c r="X45" t="str">
        <f>_xlfn.XLOOKUP($P45,localities!$B$2:$B$49,localities!$J$2:$J$49,"NA")</f>
        <v>Norway</v>
      </c>
      <c r="Y45" t="str">
        <f>_xlfn.XLOOKUP($P45,localities!$B$2:$B$49,localities!$K$2:$K$49,"NA")</f>
        <v>Nord-Trøndelag</v>
      </c>
      <c r="Z45" t="str">
        <f>_xlfn.XLOOKUP($P45,localities!$B$2:$B$49,localities!$L$2:$L$49,"NA")</f>
        <v>Indre Fosen</v>
      </c>
    </row>
    <row r="46" spans="2:26" x14ac:dyDescent="0.3">
      <c r="B46" t="s">
        <v>112</v>
      </c>
      <c r="C46" s="23">
        <v>4</v>
      </c>
      <c r="E46" t="s">
        <v>46</v>
      </c>
      <c r="F46" s="19">
        <f>_xlfn.XLOOKUP($E46,parent_events!$B$2:$B$56,parent_events!$C$2:$C$56,"NA")</f>
        <v>45068</v>
      </c>
      <c r="G46">
        <f>_xlfn.XLOOKUP($E46,parent_events!$B$2:$B$56,parent_events!$D$2:$D$56,"NA")</f>
        <v>2023</v>
      </c>
      <c r="H46">
        <f>_xlfn.XLOOKUP($E46,parent_events!$B$2:$B$56,parent_events!$E$2:$E$56,"NA")</f>
        <v>5</v>
      </c>
      <c r="I46">
        <f>_xlfn.XLOOKUP($E46,parent_events!$B$2:$B$56,parent_events!$F$2:$F$56,"NA")</f>
        <v>22</v>
      </c>
      <c r="J46">
        <f>_xlfn.XLOOKUP($E46,parent_events!$B$2:$B$56,parent_events!$G$2:$G$56,"NA")</f>
        <v>2</v>
      </c>
      <c r="K46" t="str">
        <f>_xlfn.XLOOKUP($E46,parent_events!$B$2:$B$56,parent_events!$H$2:$H$56,"NA")</f>
        <v>Rot (1 min)</v>
      </c>
      <c r="L46" t="str">
        <f>_xlfn.XLOOKUP($E46,parent_events!$B$2:$B$56,parent_events!$I$2:$I$56,"NA")</f>
        <v>"5 replicates of 1 minute kick samples"</v>
      </c>
      <c r="M46">
        <f>_xlfn.XLOOKUP($E46,parent_events!$B$2:$B$56,parent_events!$J$2:$J$56,"NA")</f>
        <v>1</v>
      </c>
      <c r="N46" s="23" t="str">
        <f>_xlfn.XLOOKUP($E46,parent_events!$B$2:$B$56,parent_events!$K$2:$K$56,"NA")</f>
        <v>decimalMinute</v>
      </c>
      <c r="P46" t="str">
        <f>_xlfn.XLOOKUP($E46,parent_events!$B$2:$B$56,parent_events!$L$2:$L$56,"NA")</f>
        <v>Storvatnet_st1</v>
      </c>
      <c r="Q46" t="str">
        <f>_xlfn.XLOOKUP($P46,localities!$B$2:$B$49,localities!$C$2:$C$49,"NA")</f>
        <v>Storvatnet</v>
      </c>
      <c r="R46">
        <f>_xlfn.XLOOKUP($P46,localities!$B$2:$B$49,localities!$D$2:$D$49,"NA")</f>
        <v>1</v>
      </c>
      <c r="S46">
        <f>_xlfn.XLOOKUP($P46,localities!$B$2:$B$49,localities!$E$2:$E$49,"NA")</f>
        <v>63.621177600000003</v>
      </c>
      <c r="T46">
        <f>_xlfn.XLOOKUP($P46,localities!$B$2:$B$49,localities!$F$2:$F$49,"NA")</f>
        <v>10.2333759</v>
      </c>
      <c r="U46" t="str">
        <f>_xlfn.XLOOKUP($P46,localities!$B$2:$B$49,localities!$G$2:$G$49,"NA")</f>
        <v>WGS84</v>
      </c>
      <c r="V46">
        <f>_xlfn.XLOOKUP($P46,localities!$B$2:$B$49,localities!$H$2:$H$49,"NA")</f>
        <v>5</v>
      </c>
      <c r="W46" t="str">
        <f>_xlfn.XLOOKUP($P46,localities!$B$2:$B$49,localities!$I$2:$I$49,"NA")</f>
        <v>NOR</v>
      </c>
      <c r="X46" t="str">
        <f>_xlfn.XLOOKUP($P46,localities!$B$2:$B$49,localities!$J$2:$J$49,"NA")</f>
        <v>Norway</v>
      </c>
      <c r="Y46" t="str">
        <f>_xlfn.XLOOKUP($P46,localities!$B$2:$B$49,localities!$K$2:$K$49,"NA")</f>
        <v>Nord-Trøndelag</v>
      </c>
      <c r="Z46" t="str">
        <f>_xlfn.XLOOKUP($P46,localities!$B$2:$B$49,localities!$L$2:$L$49,"NA")</f>
        <v>Indre Fosen</v>
      </c>
    </row>
    <row r="47" spans="2:26" x14ac:dyDescent="0.3">
      <c r="B47" t="s">
        <v>113</v>
      </c>
      <c r="C47" s="23">
        <v>5</v>
      </c>
      <c r="E47" t="s">
        <v>46</v>
      </c>
      <c r="F47" s="19">
        <f>_xlfn.XLOOKUP($E47,parent_events!$B$2:$B$56,parent_events!$C$2:$C$56,"NA")</f>
        <v>45068</v>
      </c>
      <c r="G47">
        <f>_xlfn.XLOOKUP($E47,parent_events!$B$2:$B$56,parent_events!$D$2:$D$56,"NA")</f>
        <v>2023</v>
      </c>
      <c r="H47">
        <f>_xlfn.XLOOKUP($E47,parent_events!$B$2:$B$56,parent_events!$E$2:$E$56,"NA")</f>
        <v>5</v>
      </c>
      <c r="I47">
        <f>_xlfn.XLOOKUP($E47,parent_events!$B$2:$B$56,parent_events!$F$2:$F$56,"NA")</f>
        <v>22</v>
      </c>
      <c r="J47">
        <f>_xlfn.XLOOKUP($E47,parent_events!$B$2:$B$56,parent_events!$G$2:$G$56,"NA")</f>
        <v>2</v>
      </c>
      <c r="K47" t="str">
        <f>_xlfn.XLOOKUP($E47,parent_events!$B$2:$B$56,parent_events!$H$2:$H$56,"NA")</f>
        <v>Rot (1 min)</v>
      </c>
      <c r="L47" t="str">
        <f>_xlfn.XLOOKUP($E47,parent_events!$B$2:$B$56,parent_events!$I$2:$I$56,"NA")</f>
        <v>"5 replicates of 1 minute kick samples"</v>
      </c>
      <c r="M47">
        <f>_xlfn.XLOOKUP($E47,parent_events!$B$2:$B$56,parent_events!$J$2:$J$56,"NA")</f>
        <v>1</v>
      </c>
      <c r="N47" s="23" t="str">
        <f>_xlfn.XLOOKUP($E47,parent_events!$B$2:$B$56,parent_events!$K$2:$K$56,"NA")</f>
        <v>decimalMinute</v>
      </c>
      <c r="P47" t="str">
        <f>_xlfn.XLOOKUP($E47,parent_events!$B$2:$B$56,parent_events!$L$2:$L$56,"NA")</f>
        <v>Storvatnet_st1</v>
      </c>
      <c r="Q47" t="str">
        <f>_xlfn.XLOOKUP($P47,localities!$B$2:$B$49,localities!$C$2:$C$49,"NA")</f>
        <v>Storvatnet</v>
      </c>
      <c r="R47">
        <f>_xlfn.XLOOKUP($P47,localities!$B$2:$B$49,localities!$D$2:$D$49,"NA")</f>
        <v>1</v>
      </c>
      <c r="S47">
        <f>_xlfn.XLOOKUP($P47,localities!$B$2:$B$49,localities!$E$2:$E$49,"NA")</f>
        <v>63.621177600000003</v>
      </c>
      <c r="T47">
        <f>_xlfn.XLOOKUP($P47,localities!$B$2:$B$49,localities!$F$2:$F$49,"NA")</f>
        <v>10.2333759</v>
      </c>
      <c r="U47" t="str">
        <f>_xlfn.XLOOKUP($P47,localities!$B$2:$B$49,localities!$G$2:$G$49,"NA")</f>
        <v>WGS84</v>
      </c>
      <c r="V47">
        <f>_xlfn.XLOOKUP($P47,localities!$B$2:$B$49,localities!$H$2:$H$49,"NA")</f>
        <v>5</v>
      </c>
      <c r="W47" t="str">
        <f>_xlfn.XLOOKUP($P47,localities!$B$2:$B$49,localities!$I$2:$I$49,"NA")</f>
        <v>NOR</v>
      </c>
      <c r="X47" t="str">
        <f>_xlfn.XLOOKUP($P47,localities!$B$2:$B$49,localities!$J$2:$J$49,"NA")</f>
        <v>Norway</v>
      </c>
      <c r="Y47" t="str">
        <f>_xlfn.XLOOKUP($P47,localities!$B$2:$B$49,localities!$K$2:$K$49,"NA")</f>
        <v>Nord-Trøndelag</v>
      </c>
      <c r="Z47" t="str">
        <f>_xlfn.XLOOKUP($P47,localities!$B$2:$B$49,localities!$L$2:$L$49,"NA")</f>
        <v>Indre Fosen</v>
      </c>
    </row>
    <row r="48" spans="2:26" x14ac:dyDescent="0.3">
      <c r="B48" t="s">
        <v>114</v>
      </c>
      <c r="C48" s="23">
        <v>1</v>
      </c>
      <c r="E48" t="s">
        <v>47</v>
      </c>
      <c r="F48" s="19">
        <f>_xlfn.XLOOKUP($E48,parent_events!$B$2:$B$56,parent_events!$C$2:$C$56,"NA")</f>
        <v>45070</v>
      </c>
      <c r="G48">
        <f>_xlfn.XLOOKUP($E48,parent_events!$B$2:$B$56,parent_events!$D$2:$D$56,"NA")</f>
        <v>2023</v>
      </c>
      <c r="H48">
        <f>_xlfn.XLOOKUP($E48,parent_events!$B$2:$B$56,parent_events!$E$2:$E$56,"NA")</f>
        <v>5</v>
      </c>
      <c r="I48">
        <f>_xlfn.XLOOKUP($E48,parent_events!$B$2:$B$56,parent_events!$F$2:$F$56,"NA")</f>
        <v>24</v>
      </c>
      <c r="J48">
        <f>_xlfn.XLOOKUP($E48,parent_events!$B$2:$B$56,parent_events!$G$2:$G$56,"NA")</f>
        <v>2</v>
      </c>
      <c r="K48" t="str">
        <f>_xlfn.XLOOKUP($E48,parent_events!$B$2:$B$56,parent_events!$H$2:$H$56,"NA")</f>
        <v>Rot (1 min)</v>
      </c>
      <c r="L48" t="str">
        <f>_xlfn.XLOOKUP($E48,parent_events!$B$2:$B$56,parent_events!$I$2:$I$56,"NA")</f>
        <v>"5 replicates of 1 minute kick samples"</v>
      </c>
      <c r="M48">
        <f>_xlfn.XLOOKUP($E48,parent_events!$B$2:$B$56,parent_events!$J$2:$J$56,"NA")</f>
        <v>1</v>
      </c>
      <c r="N48" s="23" t="str">
        <f>_xlfn.XLOOKUP($E48,parent_events!$B$2:$B$56,parent_events!$K$2:$K$56,"NA")</f>
        <v>decimalMinute</v>
      </c>
      <c r="P48" t="str">
        <f>_xlfn.XLOOKUP($E48,parent_events!$B$2:$B$56,parent_events!$L$2:$L$56,"NA")</f>
        <v>Stor-Drakstsjoen_st1</v>
      </c>
      <c r="Q48" t="str">
        <f>_xlfn.XLOOKUP($P48,localities!$B$2:$B$49,localities!$C$2:$C$49,"NA")</f>
        <v>Stor-Drakstsjøen</v>
      </c>
      <c r="R48">
        <f>_xlfn.XLOOKUP($P48,localities!$B$2:$B$49,localities!$D$2:$D$49,"NA")</f>
        <v>1</v>
      </c>
      <c r="S48">
        <f>_xlfn.XLOOKUP($P48,localities!$B$2:$B$49,localities!$E$2:$E$49,"NA")</f>
        <v>63.286461099999997</v>
      </c>
      <c r="T48">
        <f>_xlfn.XLOOKUP($P48,localities!$B$2:$B$49,localities!$F$2:$F$49,"NA")</f>
        <v>10.802471300000001</v>
      </c>
      <c r="U48" t="str">
        <f>_xlfn.XLOOKUP($P48,localities!$B$2:$B$49,localities!$G$2:$G$49,"NA")</f>
        <v>WGS84</v>
      </c>
      <c r="V48">
        <f>_xlfn.XLOOKUP($P48,localities!$B$2:$B$49,localities!$H$2:$H$49,"NA")</f>
        <v>5</v>
      </c>
      <c r="W48" t="str">
        <f>_xlfn.XLOOKUP($P48,localities!$B$2:$B$49,localities!$I$2:$I$49,"NA")</f>
        <v>NOR</v>
      </c>
      <c r="X48" t="str">
        <f>_xlfn.XLOOKUP($P48,localities!$B$2:$B$49,localities!$J$2:$J$49,"NA")</f>
        <v>Norway</v>
      </c>
      <c r="Y48" t="str">
        <f>_xlfn.XLOOKUP($P48,localities!$B$2:$B$49,localities!$K$2:$K$49,"NA")</f>
        <v>Sør-Trøndelag</v>
      </c>
      <c r="Z48" t="str">
        <f>_xlfn.XLOOKUP($P48,localities!$B$2:$B$49,localities!$L$2:$L$49,"NA")</f>
        <v>Selbu</v>
      </c>
    </row>
    <row r="49" spans="2:26" x14ac:dyDescent="0.3">
      <c r="B49" t="s">
        <v>115</v>
      </c>
      <c r="C49" s="23">
        <v>2</v>
      </c>
      <c r="E49" t="s">
        <v>47</v>
      </c>
      <c r="F49" s="19">
        <f>_xlfn.XLOOKUP($E49,parent_events!$B$2:$B$56,parent_events!$C$2:$C$56,"NA")</f>
        <v>45070</v>
      </c>
      <c r="G49">
        <f>_xlfn.XLOOKUP($E49,parent_events!$B$2:$B$56,parent_events!$D$2:$D$56,"NA")</f>
        <v>2023</v>
      </c>
      <c r="H49">
        <f>_xlfn.XLOOKUP($E49,parent_events!$B$2:$B$56,parent_events!$E$2:$E$56,"NA")</f>
        <v>5</v>
      </c>
      <c r="I49">
        <f>_xlfn.XLOOKUP($E49,parent_events!$B$2:$B$56,parent_events!$F$2:$F$56,"NA")</f>
        <v>24</v>
      </c>
      <c r="J49">
        <f>_xlfn.XLOOKUP($E49,parent_events!$B$2:$B$56,parent_events!$G$2:$G$56,"NA")</f>
        <v>2</v>
      </c>
      <c r="K49" t="str">
        <f>_xlfn.XLOOKUP($E49,parent_events!$B$2:$B$56,parent_events!$H$2:$H$56,"NA")</f>
        <v>Rot (1 min)</v>
      </c>
      <c r="L49" t="str">
        <f>_xlfn.XLOOKUP($E49,parent_events!$B$2:$B$56,parent_events!$I$2:$I$56,"NA")</f>
        <v>"5 replicates of 1 minute kick samples"</v>
      </c>
      <c r="M49">
        <f>_xlfn.XLOOKUP($E49,parent_events!$B$2:$B$56,parent_events!$J$2:$J$56,"NA")</f>
        <v>1</v>
      </c>
      <c r="N49" s="23" t="str">
        <f>_xlfn.XLOOKUP($E49,parent_events!$B$2:$B$56,parent_events!$K$2:$K$56,"NA")</f>
        <v>decimalMinute</v>
      </c>
      <c r="P49" t="str">
        <f>_xlfn.XLOOKUP($E49,parent_events!$B$2:$B$56,parent_events!$L$2:$L$56,"NA")</f>
        <v>Stor-Drakstsjoen_st1</v>
      </c>
      <c r="Q49" t="str">
        <f>_xlfn.XLOOKUP($P49,localities!$B$2:$B$49,localities!$C$2:$C$49,"NA")</f>
        <v>Stor-Drakstsjøen</v>
      </c>
      <c r="R49">
        <f>_xlfn.XLOOKUP($P49,localities!$B$2:$B$49,localities!$D$2:$D$49,"NA")</f>
        <v>1</v>
      </c>
      <c r="S49">
        <f>_xlfn.XLOOKUP($P49,localities!$B$2:$B$49,localities!$E$2:$E$49,"NA")</f>
        <v>63.286461099999997</v>
      </c>
      <c r="T49">
        <f>_xlfn.XLOOKUP($P49,localities!$B$2:$B$49,localities!$F$2:$F$49,"NA")</f>
        <v>10.802471300000001</v>
      </c>
      <c r="U49" t="str">
        <f>_xlfn.XLOOKUP($P49,localities!$B$2:$B$49,localities!$G$2:$G$49,"NA")</f>
        <v>WGS84</v>
      </c>
      <c r="V49">
        <f>_xlfn.XLOOKUP($P49,localities!$B$2:$B$49,localities!$H$2:$H$49,"NA")</f>
        <v>5</v>
      </c>
      <c r="W49" t="str">
        <f>_xlfn.XLOOKUP($P49,localities!$B$2:$B$49,localities!$I$2:$I$49,"NA")</f>
        <v>NOR</v>
      </c>
      <c r="X49" t="str">
        <f>_xlfn.XLOOKUP($P49,localities!$B$2:$B$49,localities!$J$2:$J$49,"NA")</f>
        <v>Norway</v>
      </c>
      <c r="Y49" t="str">
        <f>_xlfn.XLOOKUP($P49,localities!$B$2:$B$49,localities!$K$2:$K$49,"NA")</f>
        <v>Sør-Trøndelag</v>
      </c>
      <c r="Z49" t="str">
        <f>_xlfn.XLOOKUP($P49,localities!$B$2:$B$49,localities!$L$2:$L$49,"NA")</f>
        <v>Selbu</v>
      </c>
    </row>
    <row r="50" spans="2:26" x14ac:dyDescent="0.3">
      <c r="B50" t="s">
        <v>116</v>
      </c>
      <c r="C50" s="23">
        <v>3</v>
      </c>
      <c r="E50" t="s">
        <v>47</v>
      </c>
      <c r="F50" s="19">
        <f>_xlfn.XLOOKUP($E50,parent_events!$B$2:$B$56,parent_events!$C$2:$C$56,"NA")</f>
        <v>45070</v>
      </c>
      <c r="G50">
        <f>_xlfn.XLOOKUP($E50,parent_events!$B$2:$B$56,parent_events!$D$2:$D$56,"NA")</f>
        <v>2023</v>
      </c>
      <c r="H50">
        <f>_xlfn.XLOOKUP($E50,parent_events!$B$2:$B$56,parent_events!$E$2:$E$56,"NA")</f>
        <v>5</v>
      </c>
      <c r="I50">
        <f>_xlfn.XLOOKUP($E50,parent_events!$B$2:$B$56,parent_events!$F$2:$F$56,"NA")</f>
        <v>24</v>
      </c>
      <c r="J50">
        <f>_xlfn.XLOOKUP($E50,parent_events!$B$2:$B$56,parent_events!$G$2:$G$56,"NA")</f>
        <v>2</v>
      </c>
      <c r="K50" t="str">
        <f>_xlfn.XLOOKUP($E50,parent_events!$B$2:$B$56,parent_events!$H$2:$H$56,"NA")</f>
        <v>Rot (1 min)</v>
      </c>
      <c r="L50" t="str">
        <f>_xlfn.XLOOKUP($E50,parent_events!$B$2:$B$56,parent_events!$I$2:$I$56,"NA")</f>
        <v>"5 replicates of 1 minute kick samples"</v>
      </c>
      <c r="M50">
        <f>_xlfn.XLOOKUP($E50,parent_events!$B$2:$B$56,parent_events!$J$2:$J$56,"NA")</f>
        <v>1</v>
      </c>
      <c r="N50" s="23" t="str">
        <f>_xlfn.XLOOKUP($E50,parent_events!$B$2:$B$56,parent_events!$K$2:$K$56,"NA")</f>
        <v>decimalMinute</v>
      </c>
      <c r="P50" t="str">
        <f>_xlfn.XLOOKUP($E50,parent_events!$B$2:$B$56,parent_events!$L$2:$L$56,"NA")</f>
        <v>Stor-Drakstsjoen_st1</v>
      </c>
      <c r="Q50" t="str">
        <f>_xlfn.XLOOKUP($P50,localities!$B$2:$B$49,localities!$C$2:$C$49,"NA")</f>
        <v>Stor-Drakstsjøen</v>
      </c>
      <c r="R50">
        <f>_xlfn.XLOOKUP($P50,localities!$B$2:$B$49,localities!$D$2:$D$49,"NA")</f>
        <v>1</v>
      </c>
      <c r="S50">
        <f>_xlfn.XLOOKUP($P50,localities!$B$2:$B$49,localities!$E$2:$E$49,"NA")</f>
        <v>63.286461099999997</v>
      </c>
      <c r="T50">
        <f>_xlfn.XLOOKUP($P50,localities!$B$2:$B$49,localities!$F$2:$F$49,"NA")</f>
        <v>10.802471300000001</v>
      </c>
      <c r="U50" t="str">
        <f>_xlfn.XLOOKUP($P50,localities!$B$2:$B$49,localities!$G$2:$G$49,"NA")</f>
        <v>WGS84</v>
      </c>
      <c r="V50">
        <f>_xlfn.XLOOKUP($P50,localities!$B$2:$B$49,localities!$H$2:$H$49,"NA")</f>
        <v>5</v>
      </c>
      <c r="W50" t="str">
        <f>_xlfn.XLOOKUP($P50,localities!$B$2:$B$49,localities!$I$2:$I$49,"NA")</f>
        <v>NOR</v>
      </c>
      <c r="X50" t="str">
        <f>_xlfn.XLOOKUP($P50,localities!$B$2:$B$49,localities!$J$2:$J$49,"NA")</f>
        <v>Norway</v>
      </c>
      <c r="Y50" t="str">
        <f>_xlfn.XLOOKUP($P50,localities!$B$2:$B$49,localities!$K$2:$K$49,"NA")</f>
        <v>Sør-Trøndelag</v>
      </c>
      <c r="Z50" t="str">
        <f>_xlfn.XLOOKUP($P50,localities!$B$2:$B$49,localities!$L$2:$L$49,"NA")</f>
        <v>Selbu</v>
      </c>
    </row>
    <row r="51" spans="2:26" x14ac:dyDescent="0.3">
      <c r="B51" t="s">
        <v>117</v>
      </c>
      <c r="C51" s="23">
        <v>4</v>
      </c>
      <c r="E51" t="s">
        <v>47</v>
      </c>
      <c r="F51" s="19">
        <f>_xlfn.XLOOKUP($E51,parent_events!$B$2:$B$56,parent_events!$C$2:$C$56,"NA")</f>
        <v>45070</v>
      </c>
      <c r="G51">
        <f>_xlfn.XLOOKUP($E51,parent_events!$B$2:$B$56,parent_events!$D$2:$D$56,"NA")</f>
        <v>2023</v>
      </c>
      <c r="H51">
        <f>_xlfn.XLOOKUP($E51,parent_events!$B$2:$B$56,parent_events!$E$2:$E$56,"NA")</f>
        <v>5</v>
      </c>
      <c r="I51">
        <f>_xlfn.XLOOKUP($E51,parent_events!$B$2:$B$56,parent_events!$F$2:$F$56,"NA")</f>
        <v>24</v>
      </c>
      <c r="J51">
        <f>_xlfn.XLOOKUP($E51,parent_events!$B$2:$B$56,parent_events!$G$2:$G$56,"NA")</f>
        <v>2</v>
      </c>
      <c r="K51" t="str">
        <f>_xlfn.XLOOKUP($E51,parent_events!$B$2:$B$56,parent_events!$H$2:$H$56,"NA")</f>
        <v>Rot (1 min)</v>
      </c>
      <c r="L51" t="str">
        <f>_xlfn.XLOOKUP($E51,parent_events!$B$2:$B$56,parent_events!$I$2:$I$56,"NA")</f>
        <v>"5 replicates of 1 minute kick samples"</v>
      </c>
      <c r="M51">
        <f>_xlfn.XLOOKUP($E51,parent_events!$B$2:$B$56,parent_events!$J$2:$J$56,"NA")</f>
        <v>1</v>
      </c>
      <c r="N51" s="23" t="str">
        <f>_xlfn.XLOOKUP($E51,parent_events!$B$2:$B$56,parent_events!$K$2:$K$56,"NA")</f>
        <v>decimalMinute</v>
      </c>
      <c r="P51" t="str">
        <f>_xlfn.XLOOKUP($E51,parent_events!$B$2:$B$56,parent_events!$L$2:$L$56,"NA")</f>
        <v>Stor-Drakstsjoen_st1</v>
      </c>
      <c r="Q51" t="str">
        <f>_xlfn.XLOOKUP($P51,localities!$B$2:$B$49,localities!$C$2:$C$49,"NA")</f>
        <v>Stor-Drakstsjøen</v>
      </c>
      <c r="R51">
        <f>_xlfn.XLOOKUP($P51,localities!$B$2:$B$49,localities!$D$2:$D$49,"NA")</f>
        <v>1</v>
      </c>
      <c r="S51">
        <f>_xlfn.XLOOKUP($P51,localities!$B$2:$B$49,localities!$E$2:$E$49,"NA")</f>
        <v>63.286461099999997</v>
      </c>
      <c r="T51">
        <f>_xlfn.XLOOKUP($P51,localities!$B$2:$B$49,localities!$F$2:$F$49,"NA")</f>
        <v>10.802471300000001</v>
      </c>
      <c r="U51" t="str">
        <f>_xlfn.XLOOKUP($P51,localities!$B$2:$B$49,localities!$G$2:$G$49,"NA")</f>
        <v>WGS84</v>
      </c>
      <c r="V51">
        <f>_xlfn.XLOOKUP($P51,localities!$B$2:$B$49,localities!$H$2:$H$49,"NA")</f>
        <v>5</v>
      </c>
      <c r="W51" t="str">
        <f>_xlfn.XLOOKUP($P51,localities!$B$2:$B$49,localities!$I$2:$I$49,"NA")</f>
        <v>NOR</v>
      </c>
      <c r="X51" t="str">
        <f>_xlfn.XLOOKUP($P51,localities!$B$2:$B$49,localities!$J$2:$J$49,"NA")</f>
        <v>Norway</v>
      </c>
      <c r="Y51" t="str">
        <f>_xlfn.XLOOKUP($P51,localities!$B$2:$B$49,localities!$K$2:$K$49,"NA")</f>
        <v>Sør-Trøndelag</v>
      </c>
      <c r="Z51" t="str">
        <f>_xlfn.XLOOKUP($P51,localities!$B$2:$B$49,localities!$L$2:$L$49,"NA")</f>
        <v>Selbu</v>
      </c>
    </row>
    <row r="52" spans="2:26" x14ac:dyDescent="0.3">
      <c r="B52" t="s">
        <v>118</v>
      </c>
      <c r="C52" s="23">
        <v>5</v>
      </c>
      <c r="E52" t="s">
        <v>47</v>
      </c>
      <c r="F52" s="19">
        <f>_xlfn.XLOOKUP($E52,parent_events!$B$2:$B$56,parent_events!$C$2:$C$56,"NA")</f>
        <v>45070</v>
      </c>
      <c r="G52">
        <f>_xlfn.XLOOKUP($E52,parent_events!$B$2:$B$56,parent_events!$D$2:$D$56,"NA")</f>
        <v>2023</v>
      </c>
      <c r="H52">
        <f>_xlfn.XLOOKUP($E52,parent_events!$B$2:$B$56,parent_events!$E$2:$E$56,"NA")</f>
        <v>5</v>
      </c>
      <c r="I52">
        <f>_xlfn.XLOOKUP($E52,parent_events!$B$2:$B$56,parent_events!$F$2:$F$56,"NA")</f>
        <v>24</v>
      </c>
      <c r="J52">
        <f>_xlfn.XLOOKUP($E52,parent_events!$B$2:$B$56,parent_events!$G$2:$G$56,"NA")</f>
        <v>2</v>
      </c>
      <c r="K52" t="str">
        <f>_xlfn.XLOOKUP($E52,parent_events!$B$2:$B$56,parent_events!$H$2:$H$56,"NA")</f>
        <v>Rot (1 min)</v>
      </c>
      <c r="L52" t="str">
        <f>_xlfn.XLOOKUP($E52,parent_events!$B$2:$B$56,parent_events!$I$2:$I$56,"NA")</f>
        <v>"5 replicates of 1 minute kick samples"</v>
      </c>
      <c r="M52">
        <f>_xlfn.XLOOKUP($E52,parent_events!$B$2:$B$56,parent_events!$J$2:$J$56,"NA")</f>
        <v>1</v>
      </c>
      <c r="N52" s="23" t="str">
        <f>_xlfn.XLOOKUP($E52,parent_events!$B$2:$B$56,parent_events!$K$2:$K$56,"NA")</f>
        <v>decimalMinute</v>
      </c>
      <c r="P52" t="str">
        <f>_xlfn.XLOOKUP($E52,parent_events!$B$2:$B$56,parent_events!$L$2:$L$56,"NA")</f>
        <v>Stor-Drakstsjoen_st1</v>
      </c>
      <c r="Q52" t="str">
        <f>_xlfn.XLOOKUP($P52,localities!$B$2:$B$49,localities!$C$2:$C$49,"NA")</f>
        <v>Stor-Drakstsjøen</v>
      </c>
      <c r="R52">
        <f>_xlfn.XLOOKUP($P52,localities!$B$2:$B$49,localities!$D$2:$D$49,"NA")</f>
        <v>1</v>
      </c>
      <c r="S52">
        <f>_xlfn.XLOOKUP($P52,localities!$B$2:$B$49,localities!$E$2:$E$49,"NA")</f>
        <v>63.286461099999997</v>
      </c>
      <c r="T52">
        <f>_xlfn.XLOOKUP($P52,localities!$B$2:$B$49,localities!$F$2:$F$49,"NA")</f>
        <v>10.802471300000001</v>
      </c>
      <c r="U52" t="str">
        <f>_xlfn.XLOOKUP($P52,localities!$B$2:$B$49,localities!$G$2:$G$49,"NA")</f>
        <v>WGS84</v>
      </c>
      <c r="V52">
        <f>_xlfn.XLOOKUP($P52,localities!$B$2:$B$49,localities!$H$2:$H$49,"NA")</f>
        <v>5</v>
      </c>
      <c r="W52" t="str">
        <f>_xlfn.XLOOKUP($P52,localities!$B$2:$B$49,localities!$I$2:$I$49,"NA")</f>
        <v>NOR</v>
      </c>
      <c r="X52" t="str">
        <f>_xlfn.XLOOKUP($P52,localities!$B$2:$B$49,localities!$J$2:$J$49,"NA")</f>
        <v>Norway</v>
      </c>
      <c r="Y52" t="str">
        <f>_xlfn.XLOOKUP($P52,localities!$B$2:$B$49,localities!$K$2:$K$49,"NA")</f>
        <v>Sør-Trøndelag</v>
      </c>
      <c r="Z52" t="str">
        <f>_xlfn.XLOOKUP($P52,localities!$B$2:$B$49,localities!$L$2:$L$49,"NA")</f>
        <v>Selbu</v>
      </c>
    </row>
    <row r="53" spans="2:26" x14ac:dyDescent="0.3">
      <c r="B53" t="s">
        <v>119</v>
      </c>
      <c r="C53" s="23">
        <v>1</v>
      </c>
      <c r="E53" t="s">
        <v>48</v>
      </c>
      <c r="F53" s="19">
        <f>_xlfn.XLOOKUP($E53,parent_events!$B$2:$B$56,parent_events!$C$2:$C$56,"NA")</f>
        <v>45070</v>
      </c>
      <c r="G53">
        <f>_xlfn.XLOOKUP($E53,parent_events!$B$2:$B$56,parent_events!$D$2:$D$56,"NA")</f>
        <v>2023</v>
      </c>
      <c r="H53">
        <f>_xlfn.XLOOKUP($E53,parent_events!$B$2:$B$56,parent_events!$E$2:$E$56,"NA")</f>
        <v>5</v>
      </c>
      <c r="I53">
        <f>_xlfn.XLOOKUP($E53,parent_events!$B$2:$B$56,parent_events!$F$2:$F$56,"NA")</f>
        <v>24</v>
      </c>
      <c r="J53">
        <f>_xlfn.XLOOKUP($E53,parent_events!$B$2:$B$56,parent_events!$G$2:$G$56,"NA")</f>
        <v>2</v>
      </c>
      <c r="K53" t="str">
        <f>_xlfn.XLOOKUP($E53,parent_events!$B$2:$B$56,parent_events!$H$2:$H$56,"NA")</f>
        <v>Rot (1 min)</v>
      </c>
      <c r="L53" t="str">
        <f>_xlfn.XLOOKUP($E53,parent_events!$B$2:$B$56,parent_events!$I$2:$I$56,"NA")</f>
        <v>"5 replicates of 1 minute kick samples"</v>
      </c>
      <c r="M53">
        <f>_xlfn.XLOOKUP($E53,parent_events!$B$2:$B$56,parent_events!$J$2:$J$56,"NA")</f>
        <v>1</v>
      </c>
      <c r="N53" s="23" t="str">
        <f>_xlfn.XLOOKUP($E53,parent_events!$B$2:$B$56,parent_events!$K$2:$K$56,"NA")</f>
        <v>decimalMinute</v>
      </c>
      <c r="P53" t="str">
        <f>_xlfn.XLOOKUP($E53,parent_events!$B$2:$B$56,parent_events!$L$2:$L$56,"NA")</f>
        <v>Kilvatnet_st1</v>
      </c>
      <c r="Q53" t="str">
        <f>_xlfn.XLOOKUP($P53,localities!$B$2:$B$49,localities!$C$2:$C$49,"NA")</f>
        <v>Kilvatnet</v>
      </c>
      <c r="R53">
        <f>_xlfn.XLOOKUP($P53,localities!$B$2:$B$49,localities!$D$2:$D$49,"NA")</f>
        <v>1</v>
      </c>
      <c r="S53">
        <f>_xlfn.XLOOKUP($P53,localities!$B$2:$B$49,localities!$E$2:$E$49,"NA")</f>
        <v>63.3447909</v>
      </c>
      <c r="T53">
        <f>_xlfn.XLOOKUP($P53,localities!$B$2:$B$49,localities!$F$2:$F$49,"NA")</f>
        <v>10.5500174</v>
      </c>
      <c r="U53" t="str">
        <f>_xlfn.XLOOKUP($P53,localities!$B$2:$B$49,localities!$G$2:$G$49,"NA")</f>
        <v>WGS84</v>
      </c>
      <c r="V53">
        <f>_xlfn.XLOOKUP($P53,localities!$B$2:$B$49,localities!$H$2:$H$49,"NA")</f>
        <v>5</v>
      </c>
      <c r="W53" t="str">
        <f>_xlfn.XLOOKUP($P53,localities!$B$2:$B$49,localities!$I$2:$I$49,"NA")</f>
        <v>NOR</v>
      </c>
      <c r="X53" t="str">
        <f>_xlfn.XLOOKUP($P53,localities!$B$2:$B$49,localities!$J$2:$J$49,"NA")</f>
        <v>Norway</v>
      </c>
      <c r="Y53" t="str">
        <f>_xlfn.XLOOKUP($P53,localities!$B$2:$B$49,localities!$K$2:$K$49,"NA")</f>
        <v>Sør-Trøndelag</v>
      </c>
      <c r="Z53" t="str">
        <f>_xlfn.XLOOKUP($P53,localities!$B$2:$B$49,localities!$L$2:$L$49,"NA")</f>
        <v>Trondheim</v>
      </c>
    </row>
    <row r="54" spans="2:26" x14ac:dyDescent="0.3">
      <c r="B54" t="s">
        <v>120</v>
      </c>
      <c r="C54" s="23">
        <v>2</v>
      </c>
      <c r="E54" t="s">
        <v>48</v>
      </c>
      <c r="F54" s="19">
        <f>_xlfn.XLOOKUP($E54,parent_events!$B$2:$B$56,parent_events!$C$2:$C$56,"NA")</f>
        <v>45070</v>
      </c>
      <c r="G54">
        <f>_xlfn.XLOOKUP($E54,parent_events!$B$2:$B$56,parent_events!$D$2:$D$56,"NA")</f>
        <v>2023</v>
      </c>
      <c r="H54">
        <f>_xlfn.XLOOKUP($E54,parent_events!$B$2:$B$56,parent_events!$E$2:$E$56,"NA")</f>
        <v>5</v>
      </c>
      <c r="I54">
        <f>_xlfn.XLOOKUP($E54,parent_events!$B$2:$B$56,parent_events!$F$2:$F$56,"NA")</f>
        <v>24</v>
      </c>
      <c r="J54">
        <f>_xlfn.XLOOKUP($E54,parent_events!$B$2:$B$56,parent_events!$G$2:$G$56,"NA")</f>
        <v>2</v>
      </c>
      <c r="K54" t="str">
        <f>_xlfn.XLOOKUP($E54,parent_events!$B$2:$B$56,parent_events!$H$2:$H$56,"NA")</f>
        <v>Rot (1 min)</v>
      </c>
      <c r="L54" t="str">
        <f>_xlfn.XLOOKUP($E54,parent_events!$B$2:$B$56,parent_events!$I$2:$I$56,"NA")</f>
        <v>"5 replicates of 1 minute kick samples"</v>
      </c>
      <c r="M54">
        <f>_xlfn.XLOOKUP($E54,parent_events!$B$2:$B$56,parent_events!$J$2:$J$56,"NA")</f>
        <v>1</v>
      </c>
      <c r="N54" s="23" t="str">
        <f>_xlfn.XLOOKUP($E54,parent_events!$B$2:$B$56,parent_events!$K$2:$K$56,"NA")</f>
        <v>decimalMinute</v>
      </c>
      <c r="P54" t="str">
        <f>_xlfn.XLOOKUP($E54,parent_events!$B$2:$B$56,parent_events!$L$2:$L$56,"NA")</f>
        <v>Kilvatnet_st1</v>
      </c>
      <c r="Q54" t="str">
        <f>_xlfn.XLOOKUP($P54,localities!$B$2:$B$49,localities!$C$2:$C$49,"NA")</f>
        <v>Kilvatnet</v>
      </c>
      <c r="R54">
        <f>_xlfn.XLOOKUP($P54,localities!$B$2:$B$49,localities!$D$2:$D$49,"NA")</f>
        <v>1</v>
      </c>
      <c r="S54">
        <f>_xlfn.XLOOKUP($P54,localities!$B$2:$B$49,localities!$E$2:$E$49,"NA")</f>
        <v>63.3447909</v>
      </c>
      <c r="T54">
        <f>_xlfn.XLOOKUP($P54,localities!$B$2:$B$49,localities!$F$2:$F$49,"NA")</f>
        <v>10.5500174</v>
      </c>
      <c r="U54" t="str">
        <f>_xlfn.XLOOKUP($P54,localities!$B$2:$B$49,localities!$G$2:$G$49,"NA")</f>
        <v>WGS84</v>
      </c>
      <c r="V54">
        <f>_xlfn.XLOOKUP($P54,localities!$B$2:$B$49,localities!$H$2:$H$49,"NA")</f>
        <v>5</v>
      </c>
      <c r="W54" t="str">
        <f>_xlfn.XLOOKUP($P54,localities!$B$2:$B$49,localities!$I$2:$I$49,"NA")</f>
        <v>NOR</v>
      </c>
      <c r="X54" t="str">
        <f>_xlfn.XLOOKUP($P54,localities!$B$2:$B$49,localities!$J$2:$J$49,"NA")</f>
        <v>Norway</v>
      </c>
      <c r="Y54" t="str">
        <f>_xlfn.XLOOKUP($P54,localities!$B$2:$B$49,localities!$K$2:$K$49,"NA")</f>
        <v>Sør-Trøndelag</v>
      </c>
      <c r="Z54" t="str">
        <f>_xlfn.XLOOKUP($P54,localities!$B$2:$B$49,localities!$L$2:$L$49,"NA")</f>
        <v>Trondheim</v>
      </c>
    </row>
    <row r="55" spans="2:26" x14ac:dyDescent="0.3">
      <c r="B55" t="s">
        <v>121</v>
      </c>
      <c r="C55" s="23">
        <v>3</v>
      </c>
      <c r="E55" t="s">
        <v>48</v>
      </c>
      <c r="F55" s="19">
        <f>_xlfn.XLOOKUP($E55,parent_events!$B$2:$B$56,parent_events!$C$2:$C$56,"NA")</f>
        <v>45070</v>
      </c>
      <c r="G55">
        <f>_xlfn.XLOOKUP($E55,parent_events!$B$2:$B$56,parent_events!$D$2:$D$56,"NA")</f>
        <v>2023</v>
      </c>
      <c r="H55">
        <f>_xlfn.XLOOKUP($E55,parent_events!$B$2:$B$56,parent_events!$E$2:$E$56,"NA")</f>
        <v>5</v>
      </c>
      <c r="I55">
        <f>_xlfn.XLOOKUP($E55,parent_events!$B$2:$B$56,parent_events!$F$2:$F$56,"NA")</f>
        <v>24</v>
      </c>
      <c r="J55">
        <f>_xlfn.XLOOKUP($E55,parent_events!$B$2:$B$56,parent_events!$G$2:$G$56,"NA")</f>
        <v>2</v>
      </c>
      <c r="K55" t="str">
        <f>_xlfn.XLOOKUP($E55,parent_events!$B$2:$B$56,parent_events!$H$2:$H$56,"NA")</f>
        <v>Rot (1 min)</v>
      </c>
      <c r="L55" t="str">
        <f>_xlfn.XLOOKUP($E55,parent_events!$B$2:$B$56,parent_events!$I$2:$I$56,"NA")</f>
        <v>"5 replicates of 1 minute kick samples"</v>
      </c>
      <c r="M55">
        <f>_xlfn.XLOOKUP($E55,parent_events!$B$2:$B$56,parent_events!$J$2:$J$56,"NA")</f>
        <v>1</v>
      </c>
      <c r="N55" s="23" t="str">
        <f>_xlfn.XLOOKUP($E55,parent_events!$B$2:$B$56,parent_events!$K$2:$K$56,"NA")</f>
        <v>decimalMinute</v>
      </c>
      <c r="P55" t="str">
        <f>_xlfn.XLOOKUP($E55,parent_events!$B$2:$B$56,parent_events!$L$2:$L$56,"NA")</f>
        <v>Kilvatnet_st1</v>
      </c>
      <c r="Q55" t="str">
        <f>_xlfn.XLOOKUP($P55,localities!$B$2:$B$49,localities!$C$2:$C$49,"NA")</f>
        <v>Kilvatnet</v>
      </c>
      <c r="R55">
        <f>_xlfn.XLOOKUP($P55,localities!$B$2:$B$49,localities!$D$2:$D$49,"NA")</f>
        <v>1</v>
      </c>
      <c r="S55">
        <f>_xlfn.XLOOKUP($P55,localities!$B$2:$B$49,localities!$E$2:$E$49,"NA")</f>
        <v>63.3447909</v>
      </c>
      <c r="T55">
        <f>_xlfn.XLOOKUP($P55,localities!$B$2:$B$49,localities!$F$2:$F$49,"NA")</f>
        <v>10.5500174</v>
      </c>
      <c r="U55" t="str">
        <f>_xlfn.XLOOKUP($P55,localities!$B$2:$B$49,localities!$G$2:$G$49,"NA")</f>
        <v>WGS84</v>
      </c>
      <c r="V55">
        <f>_xlfn.XLOOKUP($P55,localities!$B$2:$B$49,localities!$H$2:$H$49,"NA")</f>
        <v>5</v>
      </c>
      <c r="W55" t="str">
        <f>_xlfn.XLOOKUP($P55,localities!$B$2:$B$49,localities!$I$2:$I$49,"NA")</f>
        <v>NOR</v>
      </c>
      <c r="X55" t="str">
        <f>_xlfn.XLOOKUP($P55,localities!$B$2:$B$49,localities!$J$2:$J$49,"NA")</f>
        <v>Norway</v>
      </c>
      <c r="Y55" t="str">
        <f>_xlfn.XLOOKUP($P55,localities!$B$2:$B$49,localities!$K$2:$K$49,"NA")</f>
        <v>Sør-Trøndelag</v>
      </c>
      <c r="Z55" t="str">
        <f>_xlfn.XLOOKUP($P55,localities!$B$2:$B$49,localities!$L$2:$L$49,"NA")</f>
        <v>Trondheim</v>
      </c>
    </row>
    <row r="56" spans="2:26" x14ac:dyDescent="0.3">
      <c r="B56" t="s">
        <v>122</v>
      </c>
      <c r="C56" s="23">
        <v>4</v>
      </c>
      <c r="E56" t="s">
        <v>48</v>
      </c>
      <c r="F56" s="19">
        <f>_xlfn.XLOOKUP($E56,parent_events!$B$2:$B$56,parent_events!$C$2:$C$56,"NA")</f>
        <v>45070</v>
      </c>
      <c r="G56">
        <f>_xlfn.XLOOKUP($E56,parent_events!$B$2:$B$56,parent_events!$D$2:$D$56,"NA")</f>
        <v>2023</v>
      </c>
      <c r="H56">
        <f>_xlfn.XLOOKUP($E56,parent_events!$B$2:$B$56,parent_events!$E$2:$E$56,"NA")</f>
        <v>5</v>
      </c>
      <c r="I56">
        <f>_xlfn.XLOOKUP($E56,parent_events!$B$2:$B$56,parent_events!$F$2:$F$56,"NA")</f>
        <v>24</v>
      </c>
      <c r="J56">
        <f>_xlfn.XLOOKUP($E56,parent_events!$B$2:$B$56,parent_events!$G$2:$G$56,"NA")</f>
        <v>2</v>
      </c>
      <c r="K56" t="str">
        <f>_xlfn.XLOOKUP($E56,parent_events!$B$2:$B$56,parent_events!$H$2:$H$56,"NA")</f>
        <v>Rot (1 min)</v>
      </c>
      <c r="L56" t="str">
        <f>_xlfn.XLOOKUP($E56,parent_events!$B$2:$B$56,parent_events!$I$2:$I$56,"NA")</f>
        <v>"5 replicates of 1 minute kick samples"</v>
      </c>
      <c r="M56">
        <f>_xlfn.XLOOKUP($E56,parent_events!$B$2:$B$56,parent_events!$J$2:$J$56,"NA")</f>
        <v>1</v>
      </c>
      <c r="N56" s="23" t="str">
        <f>_xlfn.XLOOKUP($E56,parent_events!$B$2:$B$56,parent_events!$K$2:$K$56,"NA")</f>
        <v>decimalMinute</v>
      </c>
      <c r="P56" t="str">
        <f>_xlfn.XLOOKUP($E56,parent_events!$B$2:$B$56,parent_events!$L$2:$L$56,"NA")</f>
        <v>Kilvatnet_st1</v>
      </c>
      <c r="Q56" t="str">
        <f>_xlfn.XLOOKUP($P56,localities!$B$2:$B$49,localities!$C$2:$C$49,"NA")</f>
        <v>Kilvatnet</v>
      </c>
      <c r="R56">
        <f>_xlfn.XLOOKUP($P56,localities!$B$2:$B$49,localities!$D$2:$D$49,"NA")</f>
        <v>1</v>
      </c>
      <c r="S56">
        <f>_xlfn.XLOOKUP($P56,localities!$B$2:$B$49,localities!$E$2:$E$49,"NA")</f>
        <v>63.3447909</v>
      </c>
      <c r="T56">
        <f>_xlfn.XLOOKUP($P56,localities!$B$2:$B$49,localities!$F$2:$F$49,"NA")</f>
        <v>10.5500174</v>
      </c>
      <c r="U56" t="str">
        <f>_xlfn.XLOOKUP($P56,localities!$B$2:$B$49,localities!$G$2:$G$49,"NA")</f>
        <v>WGS84</v>
      </c>
      <c r="V56">
        <f>_xlfn.XLOOKUP($P56,localities!$B$2:$B$49,localities!$H$2:$H$49,"NA")</f>
        <v>5</v>
      </c>
      <c r="W56" t="str">
        <f>_xlfn.XLOOKUP($P56,localities!$B$2:$B$49,localities!$I$2:$I$49,"NA")</f>
        <v>NOR</v>
      </c>
      <c r="X56" t="str">
        <f>_xlfn.XLOOKUP($P56,localities!$B$2:$B$49,localities!$J$2:$J$49,"NA")</f>
        <v>Norway</v>
      </c>
      <c r="Y56" t="str">
        <f>_xlfn.XLOOKUP($P56,localities!$B$2:$B$49,localities!$K$2:$K$49,"NA")</f>
        <v>Sør-Trøndelag</v>
      </c>
      <c r="Z56" t="str">
        <f>_xlfn.XLOOKUP($P56,localities!$B$2:$B$49,localities!$L$2:$L$49,"NA")</f>
        <v>Trondheim</v>
      </c>
    </row>
    <row r="57" spans="2:26" x14ac:dyDescent="0.3">
      <c r="B57" t="s">
        <v>123</v>
      </c>
      <c r="C57" s="23">
        <v>5</v>
      </c>
      <c r="E57" t="s">
        <v>48</v>
      </c>
      <c r="F57" s="19">
        <f>_xlfn.XLOOKUP($E57,parent_events!$B$2:$B$56,parent_events!$C$2:$C$56,"NA")</f>
        <v>45070</v>
      </c>
      <c r="G57">
        <f>_xlfn.XLOOKUP($E57,parent_events!$B$2:$B$56,parent_events!$D$2:$D$56,"NA")</f>
        <v>2023</v>
      </c>
      <c r="H57">
        <f>_xlfn.XLOOKUP($E57,parent_events!$B$2:$B$56,parent_events!$E$2:$E$56,"NA")</f>
        <v>5</v>
      </c>
      <c r="I57">
        <f>_xlfn.XLOOKUP($E57,parent_events!$B$2:$B$56,parent_events!$F$2:$F$56,"NA")</f>
        <v>24</v>
      </c>
      <c r="J57">
        <f>_xlfn.XLOOKUP($E57,parent_events!$B$2:$B$56,parent_events!$G$2:$G$56,"NA")</f>
        <v>2</v>
      </c>
      <c r="K57" t="str">
        <f>_xlfn.XLOOKUP($E57,parent_events!$B$2:$B$56,parent_events!$H$2:$H$56,"NA")</f>
        <v>Rot (1 min)</v>
      </c>
      <c r="L57" t="str">
        <f>_xlfn.XLOOKUP($E57,parent_events!$B$2:$B$56,parent_events!$I$2:$I$56,"NA")</f>
        <v>"5 replicates of 1 minute kick samples"</v>
      </c>
      <c r="M57">
        <f>_xlfn.XLOOKUP($E57,parent_events!$B$2:$B$56,parent_events!$J$2:$J$56,"NA")</f>
        <v>1</v>
      </c>
      <c r="N57" s="23" t="str">
        <f>_xlfn.XLOOKUP($E57,parent_events!$B$2:$B$56,parent_events!$K$2:$K$56,"NA")</f>
        <v>decimalMinute</v>
      </c>
      <c r="P57" t="str">
        <f>_xlfn.XLOOKUP($E57,parent_events!$B$2:$B$56,parent_events!$L$2:$L$56,"NA")</f>
        <v>Kilvatnet_st1</v>
      </c>
      <c r="Q57" t="str">
        <f>_xlfn.XLOOKUP($P57,localities!$B$2:$B$49,localities!$C$2:$C$49,"NA")</f>
        <v>Kilvatnet</v>
      </c>
      <c r="R57">
        <f>_xlfn.XLOOKUP($P57,localities!$B$2:$B$49,localities!$D$2:$D$49,"NA")</f>
        <v>1</v>
      </c>
      <c r="S57">
        <f>_xlfn.XLOOKUP($P57,localities!$B$2:$B$49,localities!$E$2:$E$49,"NA")</f>
        <v>63.3447909</v>
      </c>
      <c r="T57">
        <f>_xlfn.XLOOKUP($P57,localities!$B$2:$B$49,localities!$F$2:$F$49,"NA")</f>
        <v>10.5500174</v>
      </c>
      <c r="U57" t="str">
        <f>_xlfn.XLOOKUP($P57,localities!$B$2:$B$49,localities!$G$2:$G$49,"NA")</f>
        <v>WGS84</v>
      </c>
      <c r="V57">
        <f>_xlfn.XLOOKUP($P57,localities!$B$2:$B$49,localities!$H$2:$H$49,"NA")</f>
        <v>5</v>
      </c>
      <c r="W57" t="str">
        <f>_xlfn.XLOOKUP($P57,localities!$B$2:$B$49,localities!$I$2:$I$49,"NA")</f>
        <v>NOR</v>
      </c>
      <c r="X57" t="str">
        <f>_xlfn.XLOOKUP($P57,localities!$B$2:$B$49,localities!$J$2:$J$49,"NA")</f>
        <v>Norway</v>
      </c>
      <c r="Y57" t="str">
        <f>_xlfn.XLOOKUP($P57,localities!$B$2:$B$49,localities!$K$2:$K$49,"NA")</f>
        <v>Sør-Trøndelag</v>
      </c>
      <c r="Z57" t="str">
        <f>_xlfn.XLOOKUP($P57,localities!$B$2:$B$49,localities!$L$2:$L$49,"NA")</f>
        <v>Trondheim</v>
      </c>
    </row>
    <row r="58" spans="2:26" x14ac:dyDescent="0.3">
      <c r="B58" t="s">
        <v>124</v>
      </c>
      <c r="C58" s="23">
        <v>1</v>
      </c>
      <c r="E58" t="s">
        <v>49</v>
      </c>
      <c r="F58" s="19">
        <f>_xlfn.XLOOKUP($E58,parent_events!$B$2:$B$56,parent_events!$C$2:$C$56,"NA")</f>
        <v>45084</v>
      </c>
      <c r="G58">
        <f>_xlfn.XLOOKUP($E58,parent_events!$B$2:$B$56,parent_events!$D$2:$D$56,"NA")</f>
        <v>2023</v>
      </c>
      <c r="H58">
        <f>_xlfn.XLOOKUP($E58,parent_events!$B$2:$B$56,parent_events!$E$2:$E$56,"NA")</f>
        <v>6</v>
      </c>
      <c r="I58">
        <f>_xlfn.XLOOKUP($E58,parent_events!$B$2:$B$56,parent_events!$F$2:$F$56,"NA")</f>
        <v>7</v>
      </c>
      <c r="J58">
        <f>_xlfn.XLOOKUP($E58,parent_events!$B$2:$B$56,parent_events!$G$2:$G$56,"NA")</f>
        <v>3</v>
      </c>
      <c r="K58" t="str">
        <f>_xlfn.XLOOKUP($E58,parent_events!$B$2:$B$56,parent_events!$H$2:$H$56,"NA")</f>
        <v>Rot (1 min)</v>
      </c>
      <c r="L58" t="str">
        <f>_xlfn.XLOOKUP($E58,parent_events!$B$2:$B$56,parent_events!$I$2:$I$56,"NA")</f>
        <v>"5 replicates of 1 minute kick samples"</v>
      </c>
      <c r="M58">
        <f>_xlfn.XLOOKUP($E58,parent_events!$B$2:$B$56,parent_events!$J$2:$J$56,"NA")</f>
        <v>1</v>
      </c>
      <c r="N58" s="23" t="str">
        <f>_xlfn.XLOOKUP($E58,parent_events!$B$2:$B$56,parent_events!$K$2:$K$56,"NA")</f>
        <v>decimalMinute</v>
      </c>
      <c r="P58" t="str">
        <f>_xlfn.XLOOKUP($E58,parent_events!$B$2:$B$56,parent_events!$L$2:$L$56,"NA")</f>
        <v>Stor-Drakstsjoen_st1</v>
      </c>
      <c r="Q58" t="str">
        <f>_xlfn.XLOOKUP($P58,localities!$B$2:$B$49,localities!$C$2:$C$49,"NA")</f>
        <v>Stor-Drakstsjøen</v>
      </c>
      <c r="R58">
        <f>_xlfn.XLOOKUP($P58,localities!$B$2:$B$49,localities!$D$2:$D$49,"NA")</f>
        <v>1</v>
      </c>
      <c r="S58">
        <f>_xlfn.XLOOKUP($P58,localities!$B$2:$B$49,localities!$E$2:$E$49,"NA")</f>
        <v>63.286461099999997</v>
      </c>
      <c r="T58">
        <f>_xlfn.XLOOKUP($P58,localities!$B$2:$B$49,localities!$F$2:$F$49,"NA")</f>
        <v>10.802471300000001</v>
      </c>
      <c r="U58" t="str">
        <f>_xlfn.XLOOKUP($P58,localities!$B$2:$B$49,localities!$G$2:$G$49,"NA")</f>
        <v>WGS84</v>
      </c>
      <c r="V58">
        <f>_xlfn.XLOOKUP($P58,localities!$B$2:$B$49,localities!$H$2:$H$49,"NA")</f>
        <v>5</v>
      </c>
      <c r="W58" t="str">
        <f>_xlfn.XLOOKUP($P58,localities!$B$2:$B$49,localities!$I$2:$I$49,"NA")</f>
        <v>NOR</v>
      </c>
      <c r="X58" t="str">
        <f>_xlfn.XLOOKUP($P58,localities!$B$2:$B$49,localities!$J$2:$J$49,"NA")</f>
        <v>Norway</v>
      </c>
      <c r="Y58" t="str">
        <f>_xlfn.XLOOKUP($P58,localities!$B$2:$B$49,localities!$K$2:$K$49,"NA")</f>
        <v>Sør-Trøndelag</v>
      </c>
      <c r="Z58" t="str">
        <f>_xlfn.XLOOKUP($P58,localities!$B$2:$B$49,localities!$L$2:$L$49,"NA")</f>
        <v>Selbu</v>
      </c>
    </row>
    <row r="59" spans="2:26" x14ac:dyDescent="0.3">
      <c r="B59" t="s">
        <v>125</v>
      </c>
      <c r="C59" s="23">
        <v>2</v>
      </c>
      <c r="E59" t="s">
        <v>49</v>
      </c>
      <c r="F59" s="19">
        <f>_xlfn.XLOOKUP($E59,parent_events!$B$2:$B$56,parent_events!$C$2:$C$56,"NA")</f>
        <v>45084</v>
      </c>
      <c r="G59">
        <f>_xlfn.XLOOKUP($E59,parent_events!$B$2:$B$56,parent_events!$D$2:$D$56,"NA")</f>
        <v>2023</v>
      </c>
      <c r="H59">
        <f>_xlfn.XLOOKUP($E59,parent_events!$B$2:$B$56,parent_events!$E$2:$E$56,"NA")</f>
        <v>6</v>
      </c>
      <c r="I59">
        <f>_xlfn.XLOOKUP($E59,parent_events!$B$2:$B$56,parent_events!$F$2:$F$56,"NA")</f>
        <v>7</v>
      </c>
      <c r="J59">
        <f>_xlfn.XLOOKUP($E59,parent_events!$B$2:$B$56,parent_events!$G$2:$G$56,"NA")</f>
        <v>3</v>
      </c>
      <c r="K59" t="str">
        <f>_xlfn.XLOOKUP($E59,parent_events!$B$2:$B$56,parent_events!$H$2:$H$56,"NA")</f>
        <v>Rot (1 min)</v>
      </c>
      <c r="L59" t="str">
        <f>_xlfn.XLOOKUP($E59,parent_events!$B$2:$B$56,parent_events!$I$2:$I$56,"NA")</f>
        <v>"5 replicates of 1 minute kick samples"</v>
      </c>
      <c r="M59">
        <f>_xlfn.XLOOKUP($E59,parent_events!$B$2:$B$56,parent_events!$J$2:$J$56,"NA")</f>
        <v>1</v>
      </c>
      <c r="N59" s="23" t="str">
        <f>_xlfn.XLOOKUP($E59,parent_events!$B$2:$B$56,parent_events!$K$2:$K$56,"NA")</f>
        <v>decimalMinute</v>
      </c>
      <c r="P59" t="str">
        <f>_xlfn.XLOOKUP($E59,parent_events!$B$2:$B$56,parent_events!$L$2:$L$56,"NA")</f>
        <v>Stor-Drakstsjoen_st1</v>
      </c>
      <c r="Q59" t="str">
        <f>_xlfn.XLOOKUP($P59,localities!$B$2:$B$49,localities!$C$2:$C$49,"NA")</f>
        <v>Stor-Drakstsjøen</v>
      </c>
      <c r="R59">
        <f>_xlfn.XLOOKUP($P59,localities!$B$2:$B$49,localities!$D$2:$D$49,"NA")</f>
        <v>1</v>
      </c>
      <c r="S59">
        <f>_xlfn.XLOOKUP($P59,localities!$B$2:$B$49,localities!$E$2:$E$49,"NA")</f>
        <v>63.286461099999997</v>
      </c>
      <c r="T59">
        <f>_xlfn.XLOOKUP($P59,localities!$B$2:$B$49,localities!$F$2:$F$49,"NA")</f>
        <v>10.802471300000001</v>
      </c>
      <c r="U59" t="str">
        <f>_xlfn.XLOOKUP($P59,localities!$B$2:$B$49,localities!$G$2:$G$49,"NA")</f>
        <v>WGS84</v>
      </c>
      <c r="V59">
        <f>_xlfn.XLOOKUP($P59,localities!$B$2:$B$49,localities!$H$2:$H$49,"NA")</f>
        <v>5</v>
      </c>
      <c r="W59" t="str">
        <f>_xlfn.XLOOKUP($P59,localities!$B$2:$B$49,localities!$I$2:$I$49,"NA")</f>
        <v>NOR</v>
      </c>
      <c r="X59" t="str">
        <f>_xlfn.XLOOKUP($P59,localities!$B$2:$B$49,localities!$J$2:$J$49,"NA")</f>
        <v>Norway</v>
      </c>
      <c r="Y59" t="str">
        <f>_xlfn.XLOOKUP($P59,localities!$B$2:$B$49,localities!$K$2:$K$49,"NA")</f>
        <v>Sør-Trøndelag</v>
      </c>
      <c r="Z59" t="str">
        <f>_xlfn.XLOOKUP($P59,localities!$B$2:$B$49,localities!$L$2:$L$49,"NA")</f>
        <v>Selbu</v>
      </c>
    </row>
    <row r="60" spans="2:26" x14ac:dyDescent="0.3">
      <c r="B60" t="s">
        <v>126</v>
      </c>
      <c r="C60" s="23">
        <v>3</v>
      </c>
      <c r="E60" t="s">
        <v>49</v>
      </c>
      <c r="F60" s="19">
        <f>_xlfn.XLOOKUP($E60,parent_events!$B$2:$B$56,parent_events!$C$2:$C$56,"NA")</f>
        <v>45084</v>
      </c>
      <c r="G60">
        <f>_xlfn.XLOOKUP($E60,parent_events!$B$2:$B$56,parent_events!$D$2:$D$56,"NA")</f>
        <v>2023</v>
      </c>
      <c r="H60">
        <f>_xlfn.XLOOKUP($E60,parent_events!$B$2:$B$56,parent_events!$E$2:$E$56,"NA")</f>
        <v>6</v>
      </c>
      <c r="I60">
        <f>_xlfn.XLOOKUP($E60,parent_events!$B$2:$B$56,parent_events!$F$2:$F$56,"NA")</f>
        <v>7</v>
      </c>
      <c r="J60">
        <f>_xlfn.XLOOKUP($E60,parent_events!$B$2:$B$56,parent_events!$G$2:$G$56,"NA")</f>
        <v>3</v>
      </c>
      <c r="K60" t="str">
        <f>_xlfn.XLOOKUP($E60,parent_events!$B$2:$B$56,parent_events!$H$2:$H$56,"NA")</f>
        <v>Rot (1 min)</v>
      </c>
      <c r="L60" t="str">
        <f>_xlfn.XLOOKUP($E60,parent_events!$B$2:$B$56,parent_events!$I$2:$I$56,"NA")</f>
        <v>"5 replicates of 1 minute kick samples"</v>
      </c>
      <c r="M60">
        <f>_xlfn.XLOOKUP($E60,parent_events!$B$2:$B$56,parent_events!$J$2:$J$56,"NA")</f>
        <v>1</v>
      </c>
      <c r="N60" s="23" t="str">
        <f>_xlfn.XLOOKUP($E60,parent_events!$B$2:$B$56,parent_events!$K$2:$K$56,"NA")</f>
        <v>decimalMinute</v>
      </c>
      <c r="P60" t="str">
        <f>_xlfn.XLOOKUP($E60,parent_events!$B$2:$B$56,parent_events!$L$2:$L$56,"NA")</f>
        <v>Stor-Drakstsjoen_st1</v>
      </c>
      <c r="Q60" t="str">
        <f>_xlfn.XLOOKUP($P60,localities!$B$2:$B$49,localities!$C$2:$C$49,"NA")</f>
        <v>Stor-Drakstsjøen</v>
      </c>
      <c r="R60">
        <f>_xlfn.XLOOKUP($P60,localities!$B$2:$B$49,localities!$D$2:$D$49,"NA")</f>
        <v>1</v>
      </c>
      <c r="S60">
        <f>_xlfn.XLOOKUP($P60,localities!$B$2:$B$49,localities!$E$2:$E$49,"NA")</f>
        <v>63.286461099999997</v>
      </c>
      <c r="T60">
        <f>_xlfn.XLOOKUP($P60,localities!$B$2:$B$49,localities!$F$2:$F$49,"NA")</f>
        <v>10.802471300000001</v>
      </c>
      <c r="U60" t="str">
        <f>_xlfn.XLOOKUP($P60,localities!$B$2:$B$49,localities!$G$2:$G$49,"NA")</f>
        <v>WGS84</v>
      </c>
      <c r="V60">
        <f>_xlfn.XLOOKUP($P60,localities!$B$2:$B$49,localities!$H$2:$H$49,"NA")</f>
        <v>5</v>
      </c>
      <c r="W60" t="str">
        <f>_xlfn.XLOOKUP($P60,localities!$B$2:$B$49,localities!$I$2:$I$49,"NA")</f>
        <v>NOR</v>
      </c>
      <c r="X60" t="str">
        <f>_xlfn.XLOOKUP($P60,localities!$B$2:$B$49,localities!$J$2:$J$49,"NA")</f>
        <v>Norway</v>
      </c>
      <c r="Y60" t="str">
        <f>_xlfn.XLOOKUP($P60,localities!$B$2:$B$49,localities!$K$2:$K$49,"NA")</f>
        <v>Sør-Trøndelag</v>
      </c>
      <c r="Z60" t="str">
        <f>_xlfn.XLOOKUP($P60,localities!$B$2:$B$49,localities!$L$2:$L$49,"NA")</f>
        <v>Selbu</v>
      </c>
    </row>
    <row r="61" spans="2:26" x14ac:dyDescent="0.3">
      <c r="B61" t="s">
        <v>127</v>
      </c>
      <c r="C61" s="23">
        <v>4</v>
      </c>
      <c r="E61" t="s">
        <v>49</v>
      </c>
      <c r="F61" s="19">
        <f>_xlfn.XLOOKUP($E61,parent_events!$B$2:$B$56,parent_events!$C$2:$C$56,"NA")</f>
        <v>45084</v>
      </c>
      <c r="G61">
        <f>_xlfn.XLOOKUP($E61,parent_events!$B$2:$B$56,parent_events!$D$2:$D$56,"NA")</f>
        <v>2023</v>
      </c>
      <c r="H61">
        <f>_xlfn.XLOOKUP($E61,parent_events!$B$2:$B$56,parent_events!$E$2:$E$56,"NA")</f>
        <v>6</v>
      </c>
      <c r="I61">
        <f>_xlfn.XLOOKUP($E61,parent_events!$B$2:$B$56,parent_events!$F$2:$F$56,"NA")</f>
        <v>7</v>
      </c>
      <c r="J61">
        <f>_xlfn.XLOOKUP($E61,parent_events!$B$2:$B$56,parent_events!$G$2:$G$56,"NA")</f>
        <v>3</v>
      </c>
      <c r="K61" t="str">
        <f>_xlfn.XLOOKUP($E61,parent_events!$B$2:$B$56,parent_events!$H$2:$H$56,"NA")</f>
        <v>Rot (1 min)</v>
      </c>
      <c r="L61" t="str">
        <f>_xlfn.XLOOKUP($E61,parent_events!$B$2:$B$56,parent_events!$I$2:$I$56,"NA")</f>
        <v>"5 replicates of 1 minute kick samples"</v>
      </c>
      <c r="M61">
        <f>_xlfn.XLOOKUP($E61,parent_events!$B$2:$B$56,parent_events!$J$2:$J$56,"NA")</f>
        <v>1</v>
      </c>
      <c r="N61" s="23" t="str">
        <f>_xlfn.XLOOKUP($E61,parent_events!$B$2:$B$56,parent_events!$K$2:$K$56,"NA")</f>
        <v>decimalMinute</v>
      </c>
      <c r="P61" t="str">
        <f>_xlfn.XLOOKUP($E61,parent_events!$B$2:$B$56,parent_events!$L$2:$L$56,"NA")</f>
        <v>Stor-Drakstsjoen_st1</v>
      </c>
      <c r="Q61" t="str">
        <f>_xlfn.XLOOKUP($P61,localities!$B$2:$B$49,localities!$C$2:$C$49,"NA")</f>
        <v>Stor-Drakstsjøen</v>
      </c>
      <c r="R61">
        <f>_xlfn.XLOOKUP($P61,localities!$B$2:$B$49,localities!$D$2:$D$49,"NA")</f>
        <v>1</v>
      </c>
      <c r="S61">
        <f>_xlfn.XLOOKUP($P61,localities!$B$2:$B$49,localities!$E$2:$E$49,"NA")</f>
        <v>63.286461099999997</v>
      </c>
      <c r="T61">
        <f>_xlfn.XLOOKUP($P61,localities!$B$2:$B$49,localities!$F$2:$F$49,"NA")</f>
        <v>10.802471300000001</v>
      </c>
      <c r="U61" t="str">
        <f>_xlfn.XLOOKUP($P61,localities!$B$2:$B$49,localities!$G$2:$G$49,"NA")</f>
        <v>WGS84</v>
      </c>
      <c r="V61">
        <f>_xlfn.XLOOKUP($P61,localities!$B$2:$B$49,localities!$H$2:$H$49,"NA")</f>
        <v>5</v>
      </c>
      <c r="W61" t="str">
        <f>_xlfn.XLOOKUP($P61,localities!$B$2:$B$49,localities!$I$2:$I$49,"NA")</f>
        <v>NOR</v>
      </c>
      <c r="X61" t="str">
        <f>_xlfn.XLOOKUP($P61,localities!$B$2:$B$49,localities!$J$2:$J$49,"NA")</f>
        <v>Norway</v>
      </c>
      <c r="Y61" t="str">
        <f>_xlfn.XLOOKUP($P61,localities!$B$2:$B$49,localities!$K$2:$K$49,"NA")</f>
        <v>Sør-Trøndelag</v>
      </c>
      <c r="Z61" t="str">
        <f>_xlfn.XLOOKUP($P61,localities!$B$2:$B$49,localities!$L$2:$L$49,"NA")</f>
        <v>Selbu</v>
      </c>
    </row>
    <row r="62" spans="2:26" x14ac:dyDescent="0.3">
      <c r="B62" t="s">
        <v>128</v>
      </c>
      <c r="C62" s="23">
        <v>5</v>
      </c>
      <c r="E62" t="s">
        <v>49</v>
      </c>
      <c r="F62" s="19">
        <f>_xlfn.XLOOKUP($E62,parent_events!$B$2:$B$56,parent_events!$C$2:$C$56,"NA")</f>
        <v>45084</v>
      </c>
      <c r="G62">
        <f>_xlfn.XLOOKUP($E62,parent_events!$B$2:$B$56,parent_events!$D$2:$D$56,"NA")</f>
        <v>2023</v>
      </c>
      <c r="H62">
        <f>_xlfn.XLOOKUP($E62,parent_events!$B$2:$B$56,parent_events!$E$2:$E$56,"NA")</f>
        <v>6</v>
      </c>
      <c r="I62">
        <f>_xlfn.XLOOKUP($E62,parent_events!$B$2:$B$56,parent_events!$F$2:$F$56,"NA")</f>
        <v>7</v>
      </c>
      <c r="J62">
        <f>_xlfn.XLOOKUP($E62,parent_events!$B$2:$B$56,parent_events!$G$2:$G$56,"NA")</f>
        <v>3</v>
      </c>
      <c r="K62" t="str">
        <f>_xlfn.XLOOKUP($E62,parent_events!$B$2:$B$56,parent_events!$H$2:$H$56,"NA")</f>
        <v>Rot (1 min)</v>
      </c>
      <c r="L62" t="str">
        <f>_xlfn.XLOOKUP($E62,parent_events!$B$2:$B$56,parent_events!$I$2:$I$56,"NA")</f>
        <v>"5 replicates of 1 minute kick samples"</v>
      </c>
      <c r="M62">
        <f>_xlfn.XLOOKUP($E62,parent_events!$B$2:$B$56,parent_events!$J$2:$J$56,"NA")</f>
        <v>1</v>
      </c>
      <c r="N62" s="23" t="str">
        <f>_xlfn.XLOOKUP($E62,parent_events!$B$2:$B$56,parent_events!$K$2:$K$56,"NA")</f>
        <v>decimalMinute</v>
      </c>
      <c r="P62" t="str">
        <f>_xlfn.XLOOKUP($E62,parent_events!$B$2:$B$56,parent_events!$L$2:$L$56,"NA")</f>
        <v>Stor-Drakstsjoen_st1</v>
      </c>
      <c r="Q62" t="str">
        <f>_xlfn.XLOOKUP($P62,localities!$B$2:$B$49,localities!$C$2:$C$49,"NA")</f>
        <v>Stor-Drakstsjøen</v>
      </c>
      <c r="R62">
        <f>_xlfn.XLOOKUP($P62,localities!$B$2:$B$49,localities!$D$2:$D$49,"NA")</f>
        <v>1</v>
      </c>
      <c r="S62">
        <f>_xlfn.XLOOKUP($P62,localities!$B$2:$B$49,localities!$E$2:$E$49,"NA")</f>
        <v>63.286461099999997</v>
      </c>
      <c r="T62">
        <f>_xlfn.XLOOKUP($P62,localities!$B$2:$B$49,localities!$F$2:$F$49,"NA")</f>
        <v>10.802471300000001</v>
      </c>
      <c r="U62" t="str">
        <f>_xlfn.XLOOKUP($P62,localities!$B$2:$B$49,localities!$G$2:$G$49,"NA")</f>
        <v>WGS84</v>
      </c>
      <c r="V62">
        <f>_xlfn.XLOOKUP($P62,localities!$B$2:$B$49,localities!$H$2:$H$49,"NA")</f>
        <v>5</v>
      </c>
      <c r="W62" t="str">
        <f>_xlfn.XLOOKUP($P62,localities!$B$2:$B$49,localities!$I$2:$I$49,"NA")</f>
        <v>NOR</v>
      </c>
      <c r="X62" t="str">
        <f>_xlfn.XLOOKUP($P62,localities!$B$2:$B$49,localities!$J$2:$J$49,"NA")</f>
        <v>Norway</v>
      </c>
      <c r="Y62" t="str">
        <f>_xlfn.XLOOKUP($P62,localities!$B$2:$B$49,localities!$K$2:$K$49,"NA")</f>
        <v>Sør-Trøndelag</v>
      </c>
      <c r="Z62" t="str">
        <f>_xlfn.XLOOKUP($P62,localities!$B$2:$B$49,localities!$L$2:$L$49,"NA")</f>
        <v>Selbu</v>
      </c>
    </row>
    <row r="63" spans="2:26" x14ac:dyDescent="0.3">
      <c r="B63" t="s">
        <v>129</v>
      </c>
      <c r="C63" s="23">
        <v>1</v>
      </c>
      <c r="E63" t="s">
        <v>50</v>
      </c>
      <c r="F63" s="19">
        <f>_xlfn.XLOOKUP($E63,parent_events!$B$2:$B$56,parent_events!$C$2:$C$56,"NA")</f>
        <v>45084</v>
      </c>
      <c r="G63">
        <f>_xlfn.XLOOKUP($E63,parent_events!$B$2:$B$56,parent_events!$D$2:$D$56,"NA")</f>
        <v>2023</v>
      </c>
      <c r="H63">
        <f>_xlfn.XLOOKUP($E63,parent_events!$B$2:$B$56,parent_events!$E$2:$E$56,"NA")</f>
        <v>6</v>
      </c>
      <c r="I63">
        <f>_xlfn.XLOOKUP($E63,parent_events!$B$2:$B$56,parent_events!$F$2:$F$56,"NA")</f>
        <v>7</v>
      </c>
      <c r="J63">
        <f>_xlfn.XLOOKUP($E63,parent_events!$B$2:$B$56,parent_events!$G$2:$G$56,"NA")</f>
        <v>3</v>
      </c>
      <c r="K63" t="str">
        <f>_xlfn.XLOOKUP($E63,parent_events!$B$2:$B$56,parent_events!$H$2:$H$56,"NA")</f>
        <v>Rot (1 min)</v>
      </c>
      <c r="L63" t="str">
        <f>_xlfn.XLOOKUP($E63,parent_events!$B$2:$B$56,parent_events!$I$2:$I$56,"NA")</f>
        <v>"5 replicates of 1 minute kick samples"</v>
      </c>
      <c r="M63">
        <f>_xlfn.XLOOKUP($E63,parent_events!$B$2:$B$56,parent_events!$J$2:$J$56,"NA")</f>
        <v>1</v>
      </c>
      <c r="N63" s="23" t="str">
        <f>_xlfn.XLOOKUP($E63,parent_events!$B$2:$B$56,parent_events!$K$2:$K$56,"NA")</f>
        <v>decimalMinute</v>
      </c>
      <c r="P63" t="str">
        <f>_xlfn.XLOOKUP($E63,parent_events!$B$2:$B$56,parent_events!$L$2:$L$56,"NA")</f>
        <v>Kilvatnet_st1</v>
      </c>
      <c r="Q63" t="str">
        <f>_xlfn.XLOOKUP($P63,localities!$B$2:$B$49,localities!$C$2:$C$49,"NA")</f>
        <v>Kilvatnet</v>
      </c>
      <c r="R63">
        <f>_xlfn.XLOOKUP($P63,localities!$B$2:$B$49,localities!$D$2:$D$49,"NA")</f>
        <v>1</v>
      </c>
      <c r="S63">
        <f>_xlfn.XLOOKUP($P63,localities!$B$2:$B$49,localities!$E$2:$E$49,"NA")</f>
        <v>63.3447909</v>
      </c>
      <c r="T63">
        <f>_xlfn.XLOOKUP($P63,localities!$B$2:$B$49,localities!$F$2:$F$49,"NA")</f>
        <v>10.5500174</v>
      </c>
      <c r="U63" t="str">
        <f>_xlfn.XLOOKUP($P63,localities!$B$2:$B$49,localities!$G$2:$G$49,"NA")</f>
        <v>WGS84</v>
      </c>
      <c r="V63">
        <f>_xlfn.XLOOKUP($P63,localities!$B$2:$B$49,localities!$H$2:$H$49,"NA")</f>
        <v>5</v>
      </c>
      <c r="W63" t="str">
        <f>_xlfn.XLOOKUP($P63,localities!$B$2:$B$49,localities!$I$2:$I$49,"NA")</f>
        <v>NOR</v>
      </c>
      <c r="X63" t="str">
        <f>_xlfn.XLOOKUP($P63,localities!$B$2:$B$49,localities!$J$2:$J$49,"NA")</f>
        <v>Norway</v>
      </c>
      <c r="Y63" t="str">
        <f>_xlfn.XLOOKUP($P63,localities!$B$2:$B$49,localities!$K$2:$K$49,"NA")</f>
        <v>Sør-Trøndelag</v>
      </c>
      <c r="Z63" t="str">
        <f>_xlfn.XLOOKUP($P63,localities!$B$2:$B$49,localities!$L$2:$L$49,"NA")</f>
        <v>Trondheim</v>
      </c>
    </row>
    <row r="64" spans="2:26" x14ac:dyDescent="0.3">
      <c r="B64" t="s">
        <v>130</v>
      </c>
      <c r="C64" s="23">
        <v>2</v>
      </c>
      <c r="E64" t="s">
        <v>50</v>
      </c>
      <c r="F64" s="19">
        <f>_xlfn.XLOOKUP($E64,parent_events!$B$2:$B$56,parent_events!$C$2:$C$56,"NA")</f>
        <v>45084</v>
      </c>
      <c r="G64">
        <f>_xlfn.XLOOKUP($E64,parent_events!$B$2:$B$56,parent_events!$D$2:$D$56,"NA")</f>
        <v>2023</v>
      </c>
      <c r="H64">
        <f>_xlfn.XLOOKUP($E64,parent_events!$B$2:$B$56,parent_events!$E$2:$E$56,"NA")</f>
        <v>6</v>
      </c>
      <c r="I64">
        <f>_xlfn.XLOOKUP($E64,parent_events!$B$2:$B$56,parent_events!$F$2:$F$56,"NA")</f>
        <v>7</v>
      </c>
      <c r="J64">
        <f>_xlfn.XLOOKUP($E64,parent_events!$B$2:$B$56,parent_events!$G$2:$G$56,"NA")</f>
        <v>3</v>
      </c>
      <c r="K64" t="str">
        <f>_xlfn.XLOOKUP($E64,parent_events!$B$2:$B$56,parent_events!$H$2:$H$56,"NA")</f>
        <v>Rot (1 min)</v>
      </c>
      <c r="L64" t="str">
        <f>_xlfn.XLOOKUP($E64,parent_events!$B$2:$B$56,parent_events!$I$2:$I$56,"NA")</f>
        <v>"5 replicates of 1 minute kick samples"</v>
      </c>
      <c r="M64">
        <f>_xlfn.XLOOKUP($E64,parent_events!$B$2:$B$56,parent_events!$J$2:$J$56,"NA")</f>
        <v>1</v>
      </c>
      <c r="N64" s="23" t="str">
        <f>_xlfn.XLOOKUP($E64,parent_events!$B$2:$B$56,parent_events!$K$2:$K$56,"NA")</f>
        <v>decimalMinute</v>
      </c>
      <c r="P64" t="str">
        <f>_xlfn.XLOOKUP($E64,parent_events!$B$2:$B$56,parent_events!$L$2:$L$56,"NA")</f>
        <v>Kilvatnet_st1</v>
      </c>
      <c r="Q64" t="str">
        <f>_xlfn.XLOOKUP($P64,localities!$B$2:$B$49,localities!$C$2:$C$49,"NA")</f>
        <v>Kilvatnet</v>
      </c>
      <c r="R64">
        <f>_xlfn.XLOOKUP($P64,localities!$B$2:$B$49,localities!$D$2:$D$49,"NA")</f>
        <v>1</v>
      </c>
      <c r="S64">
        <f>_xlfn.XLOOKUP($P64,localities!$B$2:$B$49,localities!$E$2:$E$49,"NA")</f>
        <v>63.3447909</v>
      </c>
      <c r="T64">
        <f>_xlfn.XLOOKUP($P64,localities!$B$2:$B$49,localities!$F$2:$F$49,"NA")</f>
        <v>10.5500174</v>
      </c>
      <c r="U64" t="str">
        <f>_xlfn.XLOOKUP($P64,localities!$B$2:$B$49,localities!$G$2:$G$49,"NA")</f>
        <v>WGS84</v>
      </c>
      <c r="V64">
        <f>_xlfn.XLOOKUP($P64,localities!$B$2:$B$49,localities!$H$2:$H$49,"NA")</f>
        <v>5</v>
      </c>
      <c r="W64" t="str">
        <f>_xlfn.XLOOKUP($P64,localities!$B$2:$B$49,localities!$I$2:$I$49,"NA")</f>
        <v>NOR</v>
      </c>
      <c r="X64" t="str">
        <f>_xlfn.XLOOKUP($P64,localities!$B$2:$B$49,localities!$J$2:$J$49,"NA")</f>
        <v>Norway</v>
      </c>
      <c r="Y64" t="str">
        <f>_xlfn.XLOOKUP($P64,localities!$B$2:$B$49,localities!$K$2:$K$49,"NA")</f>
        <v>Sør-Trøndelag</v>
      </c>
      <c r="Z64" t="str">
        <f>_xlfn.XLOOKUP($P64,localities!$B$2:$B$49,localities!$L$2:$L$49,"NA")</f>
        <v>Trondheim</v>
      </c>
    </row>
    <row r="65" spans="2:26" x14ac:dyDescent="0.3">
      <c r="B65" t="s">
        <v>131</v>
      </c>
      <c r="C65" s="23">
        <v>3</v>
      </c>
      <c r="E65" t="s">
        <v>50</v>
      </c>
      <c r="F65" s="19">
        <f>_xlfn.XLOOKUP($E65,parent_events!$B$2:$B$56,parent_events!$C$2:$C$56,"NA")</f>
        <v>45084</v>
      </c>
      <c r="G65">
        <f>_xlfn.XLOOKUP($E65,parent_events!$B$2:$B$56,parent_events!$D$2:$D$56,"NA")</f>
        <v>2023</v>
      </c>
      <c r="H65">
        <f>_xlfn.XLOOKUP($E65,parent_events!$B$2:$B$56,parent_events!$E$2:$E$56,"NA")</f>
        <v>6</v>
      </c>
      <c r="I65">
        <f>_xlfn.XLOOKUP($E65,parent_events!$B$2:$B$56,parent_events!$F$2:$F$56,"NA")</f>
        <v>7</v>
      </c>
      <c r="J65">
        <f>_xlfn.XLOOKUP($E65,parent_events!$B$2:$B$56,parent_events!$G$2:$G$56,"NA")</f>
        <v>3</v>
      </c>
      <c r="K65" t="str">
        <f>_xlfn.XLOOKUP($E65,parent_events!$B$2:$B$56,parent_events!$H$2:$H$56,"NA")</f>
        <v>Rot (1 min)</v>
      </c>
      <c r="L65" t="str">
        <f>_xlfn.XLOOKUP($E65,parent_events!$B$2:$B$56,parent_events!$I$2:$I$56,"NA")</f>
        <v>"5 replicates of 1 minute kick samples"</v>
      </c>
      <c r="M65">
        <f>_xlfn.XLOOKUP($E65,parent_events!$B$2:$B$56,parent_events!$J$2:$J$56,"NA")</f>
        <v>1</v>
      </c>
      <c r="N65" s="23" t="str">
        <f>_xlfn.XLOOKUP($E65,parent_events!$B$2:$B$56,parent_events!$K$2:$K$56,"NA")</f>
        <v>decimalMinute</v>
      </c>
      <c r="P65" t="str">
        <f>_xlfn.XLOOKUP($E65,parent_events!$B$2:$B$56,parent_events!$L$2:$L$56,"NA")</f>
        <v>Kilvatnet_st1</v>
      </c>
      <c r="Q65" t="str">
        <f>_xlfn.XLOOKUP($P65,localities!$B$2:$B$49,localities!$C$2:$C$49,"NA")</f>
        <v>Kilvatnet</v>
      </c>
      <c r="R65">
        <f>_xlfn.XLOOKUP($P65,localities!$B$2:$B$49,localities!$D$2:$D$49,"NA")</f>
        <v>1</v>
      </c>
      <c r="S65">
        <f>_xlfn.XLOOKUP($P65,localities!$B$2:$B$49,localities!$E$2:$E$49,"NA")</f>
        <v>63.3447909</v>
      </c>
      <c r="T65">
        <f>_xlfn.XLOOKUP($P65,localities!$B$2:$B$49,localities!$F$2:$F$49,"NA")</f>
        <v>10.5500174</v>
      </c>
      <c r="U65" t="str">
        <f>_xlfn.XLOOKUP($P65,localities!$B$2:$B$49,localities!$G$2:$G$49,"NA")</f>
        <v>WGS84</v>
      </c>
      <c r="V65">
        <f>_xlfn.XLOOKUP($P65,localities!$B$2:$B$49,localities!$H$2:$H$49,"NA")</f>
        <v>5</v>
      </c>
      <c r="W65" t="str">
        <f>_xlfn.XLOOKUP($P65,localities!$B$2:$B$49,localities!$I$2:$I$49,"NA")</f>
        <v>NOR</v>
      </c>
      <c r="X65" t="str">
        <f>_xlfn.XLOOKUP($P65,localities!$B$2:$B$49,localities!$J$2:$J$49,"NA")</f>
        <v>Norway</v>
      </c>
      <c r="Y65" t="str">
        <f>_xlfn.XLOOKUP($P65,localities!$B$2:$B$49,localities!$K$2:$K$49,"NA")</f>
        <v>Sør-Trøndelag</v>
      </c>
      <c r="Z65" t="str">
        <f>_xlfn.XLOOKUP($P65,localities!$B$2:$B$49,localities!$L$2:$L$49,"NA")</f>
        <v>Trondheim</v>
      </c>
    </row>
    <row r="66" spans="2:26" x14ac:dyDescent="0.3">
      <c r="B66" t="s">
        <v>132</v>
      </c>
      <c r="C66" s="23">
        <v>4</v>
      </c>
      <c r="E66" t="s">
        <v>50</v>
      </c>
      <c r="F66" s="19">
        <f>_xlfn.XLOOKUP($E66,parent_events!$B$2:$B$56,parent_events!$C$2:$C$56,"NA")</f>
        <v>45084</v>
      </c>
      <c r="G66">
        <f>_xlfn.XLOOKUP($E66,parent_events!$B$2:$B$56,parent_events!$D$2:$D$56,"NA")</f>
        <v>2023</v>
      </c>
      <c r="H66">
        <f>_xlfn.XLOOKUP($E66,parent_events!$B$2:$B$56,parent_events!$E$2:$E$56,"NA")</f>
        <v>6</v>
      </c>
      <c r="I66">
        <f>_xlfn.XLOOKUP($E66,parent_events!$B$2:$B$56,parent_events!$F$2:$F$56,"NA")</f>
        <v>7</v>
      </c>
      <c r="J66">
        <f>_xlfn.XLOOKUP($E66,parent_events!$B$2:$B$56,parent_events!$G$2:$G$56,"NA")</f>
        <v>3</v>
      </c>
      <c r="K66" t="str">
        <f>_xlfn.XLOOKUP($E66,parent_events!$B$2:$B$56,parent_events!$H$2:$H$56,"NA")</f>
        <v>Rot (1 min)</v>
      </c>
      <c r="L66" t="str">
        <f>_xlfn.XLOOKUP($E66,parent_events!$B$2:$B$56,parent_events!$I$2:$I$56,"NA")</f>
        <v>"5 replicates of 1 minute kick samples"</v>
      </c>
      <c r="M66">
        <f>_xlfn.XLOOKUP($E66,parent_events!$B$2:$B$56,parent_events!$J$2:$J$56,"NA")</f>
        <v>1</v>
      </c>
      <c r="N66" s="23" t="str">
        <f>_xlfn.XLOOKUP($E66,parent_events!$B$2:$B$56,parent_events!$K$2:$K$56,"NA")</f>
        <v>decimalMinute</v>
      </c>
      <c r="P66" t="str">
        <f>_xlfn.XLOOKUP($E66,parent_events!$B$2:$B$56,parent_events!$L$2:$L$56,"NA")</f>
        <v>Kilvatnet_st1</v>
      </c>
      <c r="Q66" t="str">
        <f>_xlfn.XLOOKUP($P66,localities!$B$2:$B$49,localities!$C$2:$C$49,"NA")</f>
        <v>Kilvatnet</v>
      </c>
      <c r="R66">
        <f>_xlfn.XLOOKUP($P66,localities!$B$2:$B$49,localities!$D$2:$D$49,"NA")</f>
        <v>1</v>
      </c>
      <c r="S66">
        <f>_xlfn.XLOOKUP($P66,localities!$B$2:$B$49,localities!$E$2:$E$49,"NA")</f>
        <v>63.3447909</v>
      </c>
      <c r="T66">
        <f>_xlfn.XLOOKUP($P66,localities!$B$2:$B$49,localities!$F$2:$F$49,"NA")</f>
        <v>10.5500174</v>
      </c>
      <c r="U66" t="str">
        <f>_xlfn.XLOOKUP($P66,localities!$B$2:$B$49,localities!$G$2:$G$49,"NA")</f>
        <v>WGS84</v>
      </c>
      <c r="V66">
        <f>_xlfn.XLOOKUP($P66,localities!$B$2:$B$49,localities!$H$2:$H$49,"NA")</f>
        <v>5</v>
      </c>
      <c r="W66" t="str">
        <f>_xlfn.XLOOKUP($P66,localities!$B$2:$B$49,localities!$I$2:$I$49,"NA")</f>
        <v>NOR</v>
      </c>
      <c r="X66" t="str">
        <f>_xlfn.XLOOKUP($P66,localities!$B$2:$B$49,localities!$J$2:$J$49,"NA")</f>
        <v>Norway</v>
      </c>
      <c r="Y66" t="str">
        <f>_xlfn.XLOOKUP($P66,localities!$B$2:$B$49,localities!$K$2:$K$49,"NA")</f>
        <v>Sør-Trøndelag</v>
      </c>
      <c r="Z66" t="str">
        <f>_xlfn.XLOOKUP($P66,localities!$B$2:$B$49,localities!$L$2:$L$49,"NA")</f>
        <v>Trondheim</v>
      </c>
    </row>
    <row r="67" spans="2:26" x14ac:dyDescent="0.3">
      <c r="B67" t="s">
        <v>133</v>
      </c>
      <c r="C67" s="23">
        <v>5</v>
      </c>
      <c r="E67" t="s">
        <v>50</v>
      </c>
      <c r="F67" s="19">
        <f>_xlfn.XLOOKUP($E67,parent_events!$B$2:$B$56,parent_events!$C$2:$C$56,"NA")</f>
        <v>45084</v>
      </c>
      <c r="G67">
        <f>_xlfn.XLOOKUP($E67,parent_events!$B$2:$B$56,parent_events!$D$2:$D$56,"NA")</f>
        <v>2023</v>
      </c>
      <c r="H67">
        <f>_xlfn.XLOOKUP($E67,parent_events!$B$2:$B$56,parent_events!$E$2:$E$56,"NA")</f>
        <v>6</v>
      </c>
      <c r="I67">
        <f>_xlfn.XLOOKUP($E67,parent_events!$B$2:$B$56,parent_events!$F$2:$F$56,"NA")</f>
        <v>7</v>
      </c>
      <c r="J67">
        <f>_xlfn.XLOOKUP($E67,parent_events!$B$2:$B$56,parent_events!$G$2:$G$56,"NA")</f>
        <v>3</v>
      </c>
      <c r="K67" t="str">
        <f>_xlfn.XLOOKUP($E67,parent_events!$B$2:$B$56,parent_events!$H$2:$H$56,"NA")</f>
        <v>Rot (1 min)</v>
      </c>
      <c r="L67" t="str">
        <f>_xlfn.XLOOKUP($E67,parent_events!$B$2:$B$56,parent_events!$I$2:$I$56,"NA")</f>
        <v>"5 replicates of 1 minute kick samples"</v>
      </c>
      <c r="M67">
        <f>_xlfn.XLOOKUP($E67,parent_events!$B$2:$B$56,parent_events!$J$2:$J$56,"NA")</f>
        <v>1</v>
      </c>
      <c r="N67" s="23" t="str">
        <f>_xlfn.XLOOKUP($E67,parent_events!$B$2:$B$56,parent_events!$K$2:$K$56,"NA")</f>
        <v>decimalMinute</v>
      </c>
      <c r="P67" t="str">
        <f>_xlfn.XLOOKUP($E67,parent_events!$B$2:$B$56,parent_events!$L$2:$L$56,"NA")</f>
        <v>Kilvatnet_st1</v>
      </c>
      <c r="Q67" t="str">
        <f>_xlfn.XLOOKUP($P67,localities!$B$2:$B$49,localities!$C$2:$C$49,"NA")</f>
        <v>Kilvatnet</v>
      </c>
      <c r="R67">
        <f>_xlfn.XLOOKUP($P67,localities!$B$2:$B$49,localities!$D$2:$D$49,"NA")</f>
        <v>1</v>
      </c>
      <c r="S67">
        <f>_xlfn.XLOOKUP($P67,localities!$B$2:$B$49,localities!$E$2:$E$49,"NA")</f>
        <v>63.3447909</v>
      </c>
      <c r="T67">
        <f>_xlfn.XLOOKUP($P67,localities!$B$2:$B$49,localities!$F$2:$F$49,"NA")</f>
        <v>10.5500174</v>
      </c>
      <c r="U67" t="str">
        <f>_xlfn.XLOOKUP($P67,localities!$B$2:$B$49,localities!$G$2:$G$49,"NA")</f>
        <v>WGS84</v>
      </c>
      <c r="V67">
        <f>_xlfn.XLOOKUP($P67,localities!$B$2:$B$49,localities!$H$2:$H$49,"NA")</f>
        <v>5</v>
      </c>
      <c r="W67" t="str">
        <f>_xlfn.XLOOKUP($P67,localities!$B$2:$B$49,localities!$I$2:$I$49,"NA")</f>
        <v>NOR</v>
      </c>
      <c r="X67" t="str">
        <f>_xlfn.XLOOKUP($P67,localities!$B$2:$B$49,localities!$J$2:$J$49,"NA")</f>
        <v>Norway</v>
      </c>
      <c r="Y67" t="str">
        <f>_xlfn.XLOOKUP($P67,localities!$B$2:$B$49,localities!$K$2:$K$49,"NA")</f>
        <v>Sør-Trøndelag</v>
      </c>
      <c r="Z67" t="str">
        <f>_xlfn.XLOOKUP($P67,localities!$B$2:$B$49,localities!$L$2:$L$49,"NA")</f>
        <v>Trondheim</v>
      </c>
    </row>
    <row r="68" spans="2:26" x14ac:dyDescent="0.3">
      <c r="B68" t="s">
        <v>134</v>
      </c>
      <c r="C68" s="23">
        <v>1</v>
      </c>
      <c r="E68" t="s">
        <v>51</v>
      </c>
      <c r="F68" s="19">
        <f>_xlfn.XLOOKUP($E68,parent_events!$B$2:$B$56,parent_events!$C$2:$C$56,"NA")</f>
        <v>45085</v>
      </c>
      <c r="G68">
        <f>_xlfn.XLOOKUP($E68,parent_events!$B$2:$B$56,parent_events!$D$2:$D$56,"NA")</f>
        <v>2023</v>
      </c>
      <c r="H68">
        <f>_xlfn.XLOOKUP($E68,parent_events!$B$2:$B$56,parent_events!$E$2:$E$56,"NA")</f>
        <v>6</v>
      </c>
      <c r="I68">
        <f>_xlfn.XLOOKUP($E68,parent_events!$B$2:$B$56,parent_events!$F$2:$F$56,"NA")</f>
        <v>8</v>
      </c>
      <c r="J68">
        <f>_xlfn.XLOOKUP($E68,parent_events!$B$2:$B$56,parent_events!$G$2:$G$56,"NA")</f>
        <v>3</v>
      </c>
      <c r="K68" t="str">
        <f>_xlfn.XLOOKUP($E68,parent_events!$B$2:$B$56,parent_events!$H$2:$H$56,"NA")</f>
        <v>Rot (1 min)</v>
      </c>
      <c r="L68" t="str">
        <f>_xlfn.XLOOKUP($E68,parent_events!$B$2:$B$56,parent_events!$I$2:$I$56,"NA")</f>
        <v>"5 replicates of 1 minute kick samples"</v>
      </c>
      <c r="M68">
        <f>_xlfn.XLOOKUP($E68,parent_events!$B$2:$B$56,parent_events!$J$2:$J$56,"NA")</f>
        <v>1</v>
      </c>
      <c r="N68" s="23" t="str">
        <f>_xlfn.XLOOKUP($E68,parent_events!$B$2:$B$56,parent_events!$K$2:$K$56,"NA")</f>
        <v>decimalMinute</v>
      </c>
      <c r="P68" t="str">
        <f>_xlfn.XLOOKUP($E68,parent_events!$B$2:$B$56,parent_events!$L$2:$L$56,"NA")</f>
        <v>Roksetvatnet_st1</v>
      </c>
      <c r="Q68" t="str">
        <f>_xlfn.XLOOKUP($P68,localities!$B$2:$B$49,localities!$C$2:$C$49,"NA")</f>
        <v>Roksetvatnet</v>
      </c>
      <c r="R68">
        <f>_xlfn.XLOOKUP($P68,localities!$B$2:$B$49,localities!$D$2:$D$49,"NA")</f>
        <v>1</v>
      </c>
      <c r="S68">
        <f>_xlfn.XLOOKUP($P68,localities!$B$2:$B$49,localities!$E$2:$E$49,"NA")</f>
        <v>63.654024200000002</v>
      </c>
      <c r="T68">
        <f>_xlfn.XLOOKUP($P68,localities!$B$2:$B$49,localities!$F$2:$F$49,"NA")</f>
        <v>10.066431400000001</v>
      </c>
      <c r="U68" t="str">
        <f>_xlfn.XLOOKUP($P68,localities!$B$2:$B$49,localities!$G$2:$G$49,"NA")</f>
        <v>WGS84</v>
      </c>
      <c r="V68">
        <f>_xlfn.XLOOKUP($P68,localities!$B$2:$B$49,localities!$H$2:$H$49,"NA")</f>
        <v>5</v>
      </c>
      <c r="W68" t="str">
        <f>_xlfn.XLOOKUP($P68,localities!$B$2:$B$49,localities!$I$2:$I$49,"NA")</f>
        <v>NOR</v>
      </c>
      <c r="X68" t="str">
        <f>_xlfn.XLOOKUP($P68,localities!$B$2:$B$49,localities!$J$2:$J$49,"NA")</f>
        <v>Norway</v>
      </c>
      <c r="Y68" t="str">
        <f>_xlfn.XLOOKUP($P68,localities!$B$2:$B$49,localities!$K$2:$K$49,"NA")</f>
        <v>Sør-Trøndelag</v>
      </c>
      <c r="Z68" t="str">
        <f>_xlfn.XLOOKUP($P68,localities!$B$2:$B$49,localities!$L$2:$L$49,"NA")</f>
        <v>Indre Fosen</v>
      </c>
    </row>
    <row r="69" spans="2:26" x14ac:dyDescent="0.3">
      <c r="B69" t="s">
        <v>135</v>
      </c>
      <c r="C69" s="23">
        <v>2</v>
      </c>
      <c r="E69" t="s">
        <v>51</v>
      </c>
      <c r="F69" s="19">
        <f>_xlfn.XLOOKUP($E69,parent_events!$B$2:$B$56,parent_events!$C$2:$C$56,"NA")</f>
        <v>45085</v>
      </c>
      <c r="G69">
        <f>_xlfn.XLOOKUP($E69,parent_events!$B$2:$B$56,parent_events!$D$2:$D$56,"NA")</f>
        <v>2023</v>
      </c>
      <c r="H69">
        <f>_xlfn.XLOOKUP($E69,parent_events!$B$2:$B$56,parent_events!$E$2:$E$56,"NA")</f>
        <v>6</v>
      </c>
      <c r="I69">
        <f>_xlfn.XLOOKUP($E69,parent_events!$B$2:$B$56,parent_events!$F$2:$F$56,"NA")</f>
        <v>8</v>
      </c>
      <c r="J69">
        <f>_xlfn.XLOOKUP($E69,parent_events!$B$2:$B$56,parent_events!$G$2:$G$56,"NA")</f>
        <v>3</v>
      </c>
      <c r="K69" t="str">
        <f>_xlfn.XLOOKUP($E69,parent_events!$B$2:$B$56,parent_events!$H$2:$H$56,"NA")</f>
        <v>Rot (1 min)</v>
      </c>
      <c r="L69" t="str">
        <f>_xlfn.XLOOKUP($E69,parent_events!$B$2:$B$56,parent_events!$I$2:$I$56,"NA")</f>
        <v>"5 replicates of 1 minute kick samples"</v>
      </c>
      <c r="M69">
        <f>_xlfn.XLOOKUP($E69,parent_events!$B$2:$B$56,parent_events!$J$2:$J$56,"NA")</f>
        <v>1</v>
      </c>
      <c r="N69" s="23" t="str">
        <f>_xlfn.XLOOKUP($E69,parent_events!$B$2:$B$56,parent_events!$K$2:$K$56,"NA")</f>
        <v>decimalMinute</v>
      </c>
      <c r="P69" t="str">
        <f>_xlfn.XLOOKUP($E69,parent_events!$B$2:$B$56,parent_events!$L$2:$L$56,"NA")</f>
        <v>Roksetvatnet_st1</v>
      </c>
      <c r="Q69" t="str">
        <f>_xlfn.XLOOKUP($P69,localities!$B$2:$B$49,localities!$C$2:$C$49,"NA")</f>
        <v>Roksetvatnet</v>
      </c>
      <c r="R69">
        <f>_xlfn.XLOOKUP($P69,localities!$B$2:$B$49,localities!$D$2:$D$49,"NA")</f>
        <v>1</v>
      </c>
      <c r="S69">
        <f>_xlfn.XLOOKUP($P69,localities!$B$2:$B$49,localities!$E$2:$E$49,"NA")</f>
        <v>63.654024200000002</v>
      </c>
      <c r="T69">
        <f>_xlfn.XLOOKUP($P69,localities!$B$2:$B$49,localities!$F$2:$F$49,"NA")</f>
        <v>10.066431400000001</v>
      </c>
      <c r="U69" t="str">
        <f>_xlfn.XLOOKUP($P69,localities!$B$2:$B$49,localities!$G$2:$G$49,"NA")</f>
        <v>WGS84</v>
      </c>
      <c r="V69">
        <f>_xlfn.XLOOKUP($P69,localities!$B$2:$B$49,localities!$H$2:$H$49,"NA")</f>
        <v>5</v>
      </c>
      <c r="W69" t="str">
        <f>_xlfn.XLOOKUP($P69,localities!$B$2:$B$49,localities!$I$2:$I$49,"NA")</f>
        <v>NOR</v>
      </c>
      <c r="X69" t="str">
        <f>_xlfn.XLOOKUP($P69,localities!$B$2:$B$49,localities!$J$2:$J$49,"NA")</f>
        <v>Norway</v>
      </c>
      <c r="Y69" t="str">
        <f>_xlfn.XLOOKUP($P69,localities!$B$2:$B$49,localities!$K$2:$K$49,"NA")</f>
        <v>Sør-Trøndelag</v>
      </c>
      <c r="Z69" t="str">
        <f>_xlfn.XLOOKUP($P69,localities!$B$2:$B$49,localities!$L$2:$L$49,"NA")</f>
        <v>Indre Fosen</v>
      </c>
    </row>
    <row r="70" spans="2:26" x14ac:dyDescent="0.3">
      <c r="B70" t="s">
        <v>136</v>
      </c>
      <c r="C70" s="23">
        <v>3</v>
      </c>
      <c r="E70" t="s">
        <v>51</v>
      </c>
      <c r="F70" s="19">
        <f>_xlfn.XLOOKUP($E70,parent_events!$B$2:$B$56,parent_events!$C$2:$C$56,"NA")</f>
        <v>45085</v>
      </c>
      <c r="G70">
        <f>_xlfn.XLOOKUP($E70,parent_events!$B$2:$B$56,parent_events!$D$2:$D$56,"NA")</f>
        <v>2023</v>
      </c>
      <c r="H70">
        <f>_xlfn.XLOOKUP($E70,parent_events!$B$2:$B$56,parent_events!$E$2:$E$56,"NA")</f>
        <v>6</v>
      </c>
      <c r="I70">
        <f>_xlfn.XLOOKUP($E70,parent_events!$B$2:$B$56,parent_events!$F$2:$F$56,"NA")</f>
        <v>8</v>
      </c>
      <c r="J70">
        <f>_xlfn.XLOOKUP($E70,parent_events!$B$2:$B$56,parent_events!$G$2:$G$56,"NA")</f>
        <v>3</v>
      </c>
      <c r="K70" t="str">
        <f>_xlfn.XLOOKUP($E70,parent_events!$B$2:$B$56,parent_events!$H$2:$H$56,"NA")</f>
        <v>Rot (1 min)</v>
      </c>
      <c r="L70" t="str">
        <f>_xlfn.XLOOKUP($E70,parent_events!$B$2:$B$56,parent_events!$I$2:$I$56,"NA")</f>
        <v>"5 replicates of 1 minute kick samples"</v>
      </c>
      <c r="M70">
        <f>_xlfn.XLOOKUP($E70,parent_events!$B$2:$B$56,parent_events!$J$2:$J$56,"NA")</f>
        <v>1</v>
      </c>
      <c r="N70" s="23" t="str">
        <f>_xlfn.XLOOKUP($E70,parent_events!$B$2:$B$56,parent_events!$K$2:$K$56,"NA")</f>
        <v>decimalMinute</v>
      </c>
      <c r="P70" t="str">
        <f>_xlfn.XLOOKUP($E70,parent_events!$B$2:$B$56,parent_events!$L$2:$L$56,"NA")</f>
        <v>Roksetvatnet_st1</v>
      </c>
      <c r="Q70" t="str">
        <f>_xlfn.XLOOKUP($P70,localities!$B$2:$B$49,localities!$C$2:$C$49,"NA")</f>
        <v>Roksetvatnet</v>
      </c>
      <c r="R70">
        <f>_xlfn.XLOOKUP($P70,localities!$B$2:$B$49,localities!$D$2:$D$49,"NA")</f>
        <v>1</v>
      </c>
      <c r="S70">
        <f>_xlfn.XLOOKUP($P70,localities!$B$2:$B$49,localities!$E$2:$E$49,"NA")</f>
        <v>63.654024200000002</v>
      </c>
      <c r="T70">
        <f>_xlfn.XLOOKUP($P70,localities!$B$2:$B$49,localities!$F$2:$F$49,"NA")</f>
        <v>10.066431400000001</v>
      </c>
      <c r="U70" t="str">
        <f>_xlfn.XLOOKUP($P70,localities!$B$2:$B$49,localities!$G$2:$G$49,"NA")</f>
        <v>WGS84</v>
      </c>
      <c r="V70">
        <f>_xlfn.XLOOKUP($P70,localities!$B$2:$B$49,localities!$H$2:$H$49,"NA")</f>
        <v>5</v>
      </c>
      <c r="W70" t="str">
        <f>_xlfn.XLOOKUP($P70,localities!$B$2:$B$49,localities!$I$2:$I$49,"NA")</f>
        <v>NOR</v>
      </c>
      <c r="X70" t="str">
        <f>_xlfn.XLOOKUP($P70,localities!$B$2:$B$49,localities!$J$2:$J$49,"NA")</f>
        <v>Norway</v>
      </c>
      <c r="Y70" t="str">
        <f>_xlfn.XLOOKUP($P70,localities!$B$2:$B$49,localities!$K$2:$K$49,"NA")</f>
        <v>Sør-Trøndelag</v>
      </c>
      <c r="Z70" t="str">
        <f>_xlfn.XLOOKUP($P70,localities!$B$2:$B$49,localities!$L$2:$L$49,"NA")</f>
        <v>Indre Fosen</v>
      </c>
    </row>
    <row r="71" spans="2:26" x14ac:dyDescent="0.3">
      <c r="B71" t="s">
        <v>137</v>
      </c>
      <c r="C71" s="23">
        <v>4</v>
      </c>
      <c r="E71" t="s">
        <v>51</v>
      </c>
      <c r="F71" s="19">
        <f>_xlfn.XLOOKUP($E71,parent_events!$B$2:$B$56,parent_events!$C$2:$C$56,"NA")</f>
        <v>45085</v>
      </c>
      <c r="G71">
        <f>_xlfn.XLOOKUP($E71,parent_events!$B$2:$B$56,parent_events!$D$2:$D$56,"NA")</f>
        <v>2023</v>
      </c>
      <c r="H71">
        <f>_xlfn.XLOOKUP($E71,parent_events!$B$2:$B$56,parent_events!$E$2:$E$56,"NA")</f>
        <v>6</v>
      </c>
      <c r="I71">
        <f>_xlfn.XLOOKUP($E71,parent_events!$B$2:$B$56,parent_events!$F$2:$F$56,"NA")</f>
        <v>8</v>
      </c>
      <c r="J71">
        <f>_xlfn.XLOOKUP($E71,parent_events!$B$2:$B$56,parent_events!$G$2:$G$56,"NA")</f>
        <v>3</v>
      </c>
      <c r="K71" t="str">
        <f>_xlfn.XLOOKUP($E71,parent_events!$B$2:$B$56,parent_events!$H$2:$H$56,"NA")</f>
        <v>Rot (1 min)</v>
      </c>
      <c r="L71" t="str">
        <f>_xlfn.XLOOKUP($E71,parent_events!$B$2:$B$56,parent_events!$I$2:$I$56,"NA")</f>
        <v>"5 replicates of 1 minute kick samples"</v>
      </c>
      <c r="M71">
        <f>_xlfn.XLOOKUP($E71,parent_events!$B$2:$B$56,parent_events!$J$2:$J$56,"NA")</f>
        <v>1</v>
      </c>
      <c r="N71" s="23" t="str">
        <f>_xlfn.XLOOKUP($E71,parent_events!$B$2:$B$56,parent_events!$K$2:$K$56,"NA")</f>
        <v>decimalMinute</v>
      </c>
      <c r="P71" t="str">
        <f>_xlfn.XLOOKUP($E71,parent_events!$B$2:$B$56,parent_events!$L$2:$L$56,"NA")</f>
        <v>Roksetvatnet_st1</v>
      </c>
      <c r="Q71" t="str">
        <f>_xlfn.XLOOKUP($P71,localities!$B$2:$B$49,localities!$C$2:$C$49,"NA")</f>
        <v>Roksetvatnet</v>
      </c>
      <c r="R71">
        <f>_xlfn.XLOOKUP($P71,localities!$B$2:$B$49,localities!$D$2:$D$49,"NA")</f>
        <v>1</v>
      </c>
      <c r="S71">
        <f>_xlfn.XLOOKUP($P71,localities!$B$2:$B$49,localities!$E$2:$E$49,"NA")</f>
        <v>63.654024200000002</v>
      </c>
      <c r="T71">
        <f>_xlfn.XLOOKUP($P71,localities!$B$2:$B$49,localities!$F$2:$F$49,"NA")</f>
        <v>10.066431400000001</v>
      </c>
      <c r="U71" t="str">
        <f>_xlfn.XLOOKUP($P71,localities!$B$2:$B$49,localities!$G$2:$G$49,"NA")</f>
        <v>WGS84</v>
      </c>
      <c r="V71">
        <f>_xlfn.XLOOKUP($P71,localities!$B$2:$B$49,localities!$H$2:$H$49,"NA")</f>
        <v>5</v>
      </c>
      <c r="W71" t="str">
        <f>_xlfn.XLOOKUP($P71,localities!$B$2:$B$49,localities!$I$2:$I$49,"NA")</f>
        <v>NOR</v>
      </c>
      <c r="X71" t="str">
        <f>_xlfn.XLOOKUP($P71,localities!$B$2:$B$49,localities!$J$2:$J$49,"NA")</f>
        <v>Norway</v>
      </c>
      <c r="Y71" t="str">
        <f>_xlfn.XLOOKUP($P71,localities!$B$2:$B$49,localities!$K$2:$K$49,"NA")</f>
        <v>Sør-Trøndelag</v>
      </c>
      <c r="Z71" t="str">
        <f>_xlfn.XLOOKUP($P71,localities!$B$2:$B$49,localities!$L$2:$L$49,"NA")</f>
        <v>Indre Fosen</v>
      </c>
    </row>
    <row r="72" spans="2:26" x14ac:dyDescent="0.3">
      <c r="B72" t="s">
        <v>138</v>
      </c>
      <c r="C72" s="23">
        <v>5</v>
      </c>
      <c r="E72" t="s">
        <v>51</v>
      </c>
      <c r="F72" s="19">
        <f>_xlfn.XLOOKUP($E72,parent_events!$B$2:$B$56,parent_events!$C$2:$C$56,"NA")</f>
        <v>45085</v>
      </c>
      <c r="G72">
        <f>_xlfn.XLOOKUP($E72,parent_events!$B$2:$B$56,parent_events!$D$2:$D$56,"NA")</f>
        <v>2023</v>
      </c>
      <c r="H72">
        <f>_xlfn.XLOOKUP($E72,parent_events!$B$2:$B$56,parent_events!$E$2:$E$56,"NA")</f>
        <v>6</v>
      </c>
      <c r="I72">
        <f>_xlfn.XLOOKUP($E72,parent_events!$B$2:$B$56,parent_events!$F$2:$F$56,"NA")</f>
        <v>8</v>
      </c>
      <c r="J72">
        <f>_xlfn.XLOOKUP($E72,parent_events!$B$2:$B$56,parent_events!$G$2:$G$56,"NA")</f>
        <v>3</v>
      </c>
      <c r="K72" t="str">
        <f>_xlfn.XLOOKUP($E72,parent_events!$B$2:$B$56,parent_events!$H$2:$H$56,"NA")</f>
        <v>Rot (1 min)</v>
      </c>
      <c r="L72" t="str">
        <f>_xlfn.XLOOKUP($E72,parent_events!$B$2:$B$56,parent_events!$I$2:$I$56,"NA")</f>
        <v>"5 replicates of 1 minute kick samples"</v>
      </c>
      <c r="M72">
        <f>_xlfn.XLOOKUP($E72,parent_events!$B$2:$B$56,parent_events!$J$2:$J$56,"NA")</f>
        <v>1</v>
      </c>
      <c r="N72" s="23" t="str">
        <f>_xlfn.XLOOKUP($E72,parent_events!$B$2:$B$56,parent_events!$K$2:$K$56,"NA")</f>
        <v>decimalMinute</v>
      </c>
      <c r="P72" t="str">
        <f>_xlfn.XLOOKUP($E72,parent_events!$B$2:$B$56,parent_events!$L$2:$L$56,"NA")</f>
        <v>Roksetvatnet_st1</v>
      </c>
      <c r="Q72" t="str">
        <f>_xlfn.XLOOKUP($P72,localities!$B$2:$B$49,localities!$C$2:$C$49,"NA")</f>
        <v>Roksetvatnet</v>
      </c>
      <c r="R72">
        <f>_xlfn.XLOOKUP($P72,localities!$B$2:$B$49,localities!$D$2:$D$49,"NA")</f>
        <v>1</v>
      </c>
      <c r="S72">
        <f>_xlfn.XLOOKUP($P72,localities!$B$2:$B$49,localities!$E$2:$E$49,"NA")</f>
        <v>63.654024200000002</v>
      </c>
      <c r="T72">
        <f>_xlfn.XLOOKUP($P72,localities!$B$2:$B$49,localities!$F$2:$F$49,"NA")</f>
        <v>10.066431400000001</v>
      </c>
      <c r="U72" t="str">
        <f>_xlfn.XLOOKUP($P72,localities!$B$2:$B$49,localities!$G$2:$G$49,"NA")</f>
        <v>WGS84</v>
      </c>
      <c r="V72">
        <f>_xlfn.XLOOKUP($P72,localities!$B$2:$B$49,localities!$H$2:$H$49,"NA")</f>
        <v>5</v>
      </c>
      <c r="W72" t="str">
        <f>_xlfn.XLOOKUP($P72,localities!$B$2:$B$49,localities!$I$2:$I$49,"NA")</f>
        <v>NOR</v>
      </c>
      <c r="X72" t="str">
        <f>_xlfn.XLOOKUP($P72,localities!$B$2:$B$49,localities!$J$2:$J$49,"NA")</f>
        <v>Norway</v>
      </c>
      <c r="Y72" t="str">
        <f>_xlfn.XLOOKUP($P72,localities!$B$2:$B$49,localities!$K$2:$K$49,"NA")</f>
        <v>Sør-Trøndelag</v>
      </c>
      <c r="Z72" t="str">
        <f>_xlfn.XLOOKUP($P72,localities!$B$2:$B$49,localities!$L$2:$L$49,"NA")</f>
        <v>Indre Fosen</v>
      </c>
    </row>
    <row r="73" spans="2:26" x14ac:dyDescent="0.3">
      <c r="B73" t="s">
        <v>139</v>
      </c>
      <c r="C73" s="23">
        <v>1</v>
      </c>
      <c r="E73" t="s">
        <v>52</v>
      </c>
      <c r="F73" s="19">
        <f>_xlfn.XLOOKUP($E73,parent_events!$B$2:$B$56,parent_events!$C$2:$C$56,"NA")</f>
        <v>45085</v>
      </c>
      <c r="G73">
        <f>_xlfn.XLOOKUP($E73,parent_events!$B$2:$B$56,parent_events!$D$2:$D$56,"NA")</f>
        <v>2023</v>
      </c>
      <c r="H73">
        <f>_xlfn.XLOOKUP($E73,parent_events!$B$2:$B$56,parent_events!$E$2:$E$56,"NA")</f>
        <v>6</v>
      </c>
      <c r="I73">
        <f>_xlfn.XLOOKUP($E73,parent_events!$B$2:$B$56,parent_events!$F$2:$F$56,"NA")</f>
        <v>8</v>
      </c>
      <c r="J73">
        <f>_xlfn.XLOOKUP($E73,parent_events!$B$2:$B$56,parent_events!$G$2:$G$56,"NA")</f>
        <v>3</v>
      </c>
      <c r="K73" t="str">
        <f>_xlfn.XLOOKUP($E73,parent_events!$B$2:$B$56,parent_events!$H$2:$H$56,"NA")</f>
        <v>Rot (1 min)</v>
      </c>
      <c r="L73" t="str">
        <f>_xlfn.XLOOKUP($E73,parent_events!$B$2:$B$56,parent_events!$I$2:$I$56,"NA")</f>
        <v>"5 replicates of 1 minute kick samples"</v>
      </c>
      <c r="M73">
        <f>_xlfn.XLOOKUP($E73,parent_events!$B$2:$B$56,parent_events!$J$2:$J$56,"NA")</f>
        <v>1</v>
      </c>
      <c r="N73" s="23" t="str">
        <f>_xlfn.XLOOKUP($E73,parent_events!$B$2:$B$56,parent_events!$K$2:$K$56,"NA")</f>
        <v>decimalMinute</v>
      </c>
      <c r="P73" t="str">
        <f>_xlfn.XLOOKUP($E73,parent_events!$B$2:$B$56,parent_events!$L$2:$L$56,"NA")</f>
        <v>Barsetvatnet_st1</v>
      </c>
      <c r="Q73" t="str">
        <f>_xlfn.XLOOKUP($P73,localities!$B$2:$B$49,localities!$C$2:$C$49,"NA")</f>
        <v>Barsetvatnet</v>
      </c>
      <c r="R73">
        <f>_xlfn.XLOOKUP($P73,localities!$B$2:$B$49,localities!$D$2:$D$49,"NA")</f>
        <v>1</v>
      </c>
      <c r="S73">
        <f>_xlfn.XLOOKUP($P73,localities!$B$2:$B$49,localities!$E$2:$E$49,"NA")</f>
        <v>63.797785500000003</v>
      </c>
      <c r="T73">
        <f>_xlfn.XLOOKUP($P73,localities!$B$2:$B$49,localities!$F$2:$F$49,"NA")</f>
        <v>9.8281852999999995</v>
      </c>
      <c r="U73" t="str">
        <f>_xlfn.XLOOKUP($P73,localities!$B$2:$B$49,localities!$G$2:$G$49,"NA")</f>
        <v>WGS84</v>
      </c>
      <c r="V73">
        <f>_xlfn.XLOOKUP($P73,localities!$B$2:$B$49,localities!$H$2:$H$49,"NA")</f>
        <v>5</v>
      </c>
      <c r="W73" t="str">
        <f>_xlfn.XLOOKUP($P73,localities!$B$2:$B$49,localities!$I$2:$I$49,"NA")</f>
        <v>NOR</v>
      </c>
      <c r="X73" t="str">
        <f>_xlfn.XLOOKUP($P73,localities!$B$2:$B$49,localities!$J$2:$J$49,"NA")</f>
        <v>Norway</v>
      </c>
      <c r="Y73" t="str">
        <f>_xlfn.XLOOKUP($P73,localities!$B$2:$B$49,localities!$K$2:$K$49,"NA")</f>
        <v>Sør-Trøndelag</v>
      </c>
      <c r="Z73" t="str">
        <f>_xlfn.XLOOKUP($P73,localities!$B$2:$B$49,localities!$L$2:$L$49,"NA")</f>
        <v>Ørland</v>
      </c>
    </row>
    <row r="74" spans="2:26" x14ac:dyDescent="0.3">
      <c r="B74" t="s">
        <v>140</v>
      </c>
      <c r="C74" s="23">
        <v>2</v>
      </c>
      <c r="E74" t="s">
        <v>52</v>
      </c>
      <c r="F74" s="19">
        <f>_xlfn.XLOOKUP($E74,parent_events!$B$2:$B$56,parent_events!$C$2:$C$56,"NA")</f>
        <v>45085</v>
      </c>
      <c r="G74">
        <f>_xlfn.XLOOKUP($E74,parent_events!$B$2:$B$56,parent_events!$D$2:$D$56,"NA")</f>
        <v>2023</v>
      </c>
      <c r="H74">
        <f>_xlfn.XLOOKUP($E74,parent_events!$B$2:$B$56,parent_events!$E$2:$E$56,"NA")</f>
        <v>6</v>
      </c>
      <c r="I74">
        <f>_xlfn.XLOOKUP($E74,parent_events!$B$2:$B$56,parent_events!$F$2:$F$56,"NA")</f>
        <v>8</v>
      </c>
      <c r="J74">
        <f>_xlfn.XLOOKUP($E74,parent_events!$B$2:$B$56,parent_events!$G$2:$G$56,"NA")</f>
        <v>3</v>
      </c>
      <c r="K74" t="str">
        <f>_xlfn.XLOOKUP($E74,parent_events!$B$2:$B$56,parent_events!$H$2:$H$56,"NA")</f>
        <v>Rot (1 min)</v>
      </c>
      <c r="L74" t="str">
        <f>_xlfn.XLOOKUP($E74,parent_events!$B$2:$B$56,parent_events!$I$2:$I$56,"NA")</f>
        <v>"5 replicates of 1 minute kick samples"</v>
      </c>
      <c r="M74">
        <f>_xlfn.XLOOKUP($E74,parent_events!$B$2:$B$56,parent_events!$J$2:$J$56,"NA")</f>
        <v>1</v>
      </c>
      <c r="N74" s="23" t="str">
        <f>_xlfn.XLOOKUP($E74,parent_events!$B$2:$B$56,parent_events!$K$2:$K$56,"NA")</f>
        <v>decimalMinute</v>
      </c>
      <c r="P74" t="str">
        <f>_xlfn.XLOOKUP($E74,parent_events!$B$2:$B$56,parent_events!$L$2:$L$56,"NA")</f>
        <v>Barsetvatnet_st1</v>
      </c>
      <c r="Q74" t="str">
        <f>_xlfn.XLOOKUP($P74,localities!$B$2:$B$49,localities!$C$2:$C$49,"NA")</f>
        <v>Barsetvatnet</v>
      </c>
      <c r="R74">
        <f>_xlfn.XLOOKUP($P74,localities!$B$2:$B$49,localities!$D$2:$D$49,"NA")</f>
        <v>1</v>
      </c>
      <c r="S74">
        <f>_xlfn.XLOOKUP($P74,localities!$B$2:$B$49,localities!$E$2:$E$49,"NA")</f>
        <v>63.797785500000003</v>
      </c>
      <c r="T74">
        <f>_xlfn.XLOOKUP($P74,localities!$B$2:$B$49,localities!$F$2:$F$49,"NA")</f>
        <v>9.8281852999999995</v>
      </c>
      <c r="U74" t="str">
        <f>_xlfn.XLOOKUP($P74,localities!$B$2:$B$49,localities!$G$2:$G$49,"NA")</f>
        <v>WGS84</v>
      </c>
      <c r="V74">
        <f>_xlfn.XLOOKUP($P74,localities!$B$2:$B$49,localities!$H$2:$H$49,"NA")</f>
        <v>5</v>
      </c>
      <c r="W74" t="str">
        <f>_xlfn.XLOOKUP($P74,localities!$B$2:$B$49,localities!$I$2:$I$49,"NA")</f>
        <v>NOR</v>
      </c>
      <c r="X74" t="str">
        <f>_xlfn.XLOOKUP($P74,localities!$B$2:$B$49,localities!$J$2:$J$49,"NA")</f>
        <v>Norway</v>
      </c>
      <c r="Y74" t="str">
        <f>_xlfn.XLOOKUP($P74,localities!$B$2:$B$49,localities!$K$2:$K$49,"NA")</f>
        <v>Sør-Trøndelag</v>
      </c>
      <c r="Z74" t="str">
        <f>_xlfn.XLOOKUP($P74,localities!$B$2:$B$49,localities!$L$2:$L$49,"NA")</f>
        <v>Ørland</v>
      </c>
    </row>
    <row r="75" spans="2:26" x14ac:dyDescent="0.3">
      <c r="B75" t="s">
        <v>141</v>
      </c>
      <c r="C75" s="23">
        <v>3</v>
      </c>
      <c r="E75" t="s">
        <v>52</v>
      </c>
      <c r="F75" s="19">
        <f>_xlfn.XLOOKUP($E75,parent_events!$B$2:$B$56,parent_events!$C$2:$C$56,"NA")</f>
        <v>45085</v>
      </c>
      <c r="G75">
        <f>_xlfn.XLOOKUP($E75,parent_events!$B$2:$B$56,parent_events!$D$2:$D$56,"NA")</f>
        <v>2023</v>
      </c>
      <c r="H75">
        <f>_xlfn.XLOOKUP($E75,parent_events!$B$2:$B$56,parent_events!$E$2:$E$56,"NA")</f>
        <v>6</v>
      </c>
      <c r="I75">
        <f>_xlfn.XLOOKUP($E75,parent_events!$B$2:$B$56,parent_events!$F$2:$F$56,"NA")</f>
        <v>8</v>
      </c>
      <c r="J75">
        <f>_xlfn.XLOOKUP($E75,parent_events!$B$2:$B$56,parent_events!$G$2:$G$56,"NA")</f>
        <v>3</v>
      </c>
      <c r="K75" t="str">
        <f>_xlfn.XLOOKUP($E75,parent_events!$B$2:$B$56,parent_events!$H$2:$H$56,"NA")</f>
        <v>Rot (1 min)</v>
      </c>
      <c r="L75" t="str">
        <f>_xlfn.XLOOKUP($E75,parent_events!$B$2:$B$56,parent_events!$I$2:$I$56,"NA")</f>
        <v>"5 replicates of 1 minute kick samples"</v>
      </c>
      <c r="M75">
        <f>_xlfn.XLOOKUP($E75,parent_events!$B$2:$B$56,parent_events!$J$2:$J$56,"NA")</f>
        <v>1</v>
      </c>
      <c r="N75" s="23" t="str">
        <f>_xlfn.XLOOKUP($E75,parent_events!$B$2:$B$56,parent_events!$K$2:$K$56,"NA")</f>
        <v>decimalMinute</v>
      </c>
      <c r="P75" t="str">
        <f>_xlfn.XLOOKUP($E75,parent_events!$B$2:$B$56,parent_events!$L$2:$L$56,"NA")</f>
        <v>Barsetvatnet_st1</v>
      </c>
      <c r="Q75" t="str">
        <f>_xlfn.XLOOKUP($P75,localities!$B$2:$B$49,localities!$C$2:$C$49,"NA")</f>
        <v>Barsetvatnet</v>
      </c>
      <c r="R75">
        <f>_xlfn.XLOOKUP($P75,localities!$B$2:$B$49,localities!$D$2:$D$49,"NA")</f>
        <v>1</v>
      </c>
      <c r="S75">
        <f>_xlfn.XLOOKUP($P75,localities!$B$2:$B$49,localities!$E$2:$E$49,"NA")</f>
        <v>63.797785500000003</v>
      </c>
      <c r="T75">
        <f>_xlfn.XLOOKUP($P75,localities!$B$2:$B$49,localities!$F$2:$F$49,"NA")</f>
        <v>9.8281852999999995</v>
      </c>
      <c r="U75" t="str">
        <f>_xlfn.XLOOKUP($P75,localities!$B$2:$B$49,localities!$G$2:$G$49,"NA")</f>
        <v>WGS84</v>
      </c>
      <c r="V75">
        <f>_xlfn.XLOOKUP($P75,localities!$B$2:$B$49,localities!$H$2:$H$49,"NA")</f>
        <v>5</v>
      </c>
      <c r="W75" t="str">
        <f>_xlfn.XLOOKUP($P75,localities!$B$2:$B$49,localities!$I$2:$I$49,"NA")</f>
        <v>NOR</v>
      </c>
      <c r="X75" t="str">
        <f>_xlfn.XLOOKUP($P75,localities!$B$2:$B$49,localities!$J$2:$J$49,"NA")</f>
        <v>Norway</v>
      </c>
      <c r="Y75" t="str">
        <f>_xlfn.XLOOKUP($P75,localities!$B$2:$B$49,localities!$K$2:$K$49,"NA")</f>
        <v>Sør-Trøndelag</v>
      </c>
      <c r="Z75" t="str">
        <f>_xlfn.XLOOKUP($P75,localities!$B$2:$B$49,localities!$L$2:$L$49,"NA")</f>
        <v>Ørland</v>
      </c>
    </row>
    <row r="76" spans="2:26" x14ac:dyDescent="0.3">
      <c r="B76" t="s">
        <v>142</v>
      </c>
      <c r="C76" s="23">
        <v>4</v>
      </c>
      <c r="E76" t="s">
        <v>52</v>
      </c>
      <c r="F76" s="19">
        <f>_xlfn.XLOOKUP($E76,parent_events!$B$2:$B$56,parent_events!$C$2:$C$56,"NA")</f>
        <v>45085</v>
      </c>
      <c r="G76">
        <f>_xlfn.XLOOKUP($E76,parent_events!$B$2:$B$56,parent_events!$D$2:$D$56,"NA")</f>
        <v>2023</v>
      </c>
      <c r="H76">
        <f>_xlfn.XLOOKUP($E76,parent_events!$B$2:$B$56,parent_events!$E$2:$E$56,"NA")</f>
        <v>6</v>
      </c>
      <c r="I76">
        <f>_xlfn.XLOOKUP($E76,parent_events!$B$2:$B$56,parent_events!$F$2:$F$56,"NA")</f>
        <v>8</v>
      </c>
      <c r="J76">
        <f>_xlfn.XLOOKUP($E76,parent_events!$B$2:$B$56,parent_events!$G$2:$G$56,"NA")</f>
        <v>3</v>
      </c>
      <c r="K76" t="str">
        <f>_xlfn.XLOOKUP($E76,parent_events!$B$2:$B$56,parent_events!$H$2:$H$56,"NA")</f>
        <v>Rot (1 min)</v>
      </c>
      <c r="L76" t="str">
        <f>_xlfn.XLOOKUP($E76,parent_events!$B$2:$B$56,parent_events!$I$2:$I$56,"NA")</f>
        <v>"5 replicates of 1 minute kick samples"</v>
      </c>
      <c r="M76">
        <f>_xlfn.XLOOKUP($E76,parent_events!$B$2:$B$56,parent_events!$J$2:$J$56,"NA")</f>
        <v>1</v>
      </c>
      <c r="N76" s="23" t="str">
        <f>_xlfn.XLOOKUP($E76,parent_events!$B$2:$B$56,parent_events!$K$2:$K$56,"NA")</f>
        <v>decimalMinute</v>
      </c>
      <c r="P76" t="str">
        <f>_xlfn.XLOOKUP($E76,parent_events!$B$2:$B$56,parent_events!$L$2:$L$56,"NA")</f>
        <v>Barsetvatnet_st1</v>
      </c>
      <c r="Q76" t="str">
        <f>_xlfn.XLOOKUP($P76,localities!$B$2:$B$49,localities!$C$2:$C$49,"NA")</f>
        <v>Barsetvatnet</v>
      </c>
      <c r="R76">
        <f>_xlfn.XLOOKUP($P76,localities!$B$2:$B$49,localities!$D$2:$D$49,"NA")</f>
        <v>1</v>
      </c>
      <c r="S76">
        <f>_xlfn.XLOOKUP($P76,localities!$B$2:$B$49,localities!$E$2:$E$49,"NA")</f>
        <v>63.797785500000003</v>
      </c>
      <c r="T76">
        <f>_xlfn.XLOOKUP($P76,localities!$B$2:$B$49,localities!$F$2:$F$49,"NA")</f>
        <v>9.8281852999999995</v>
      </c>
      <c r="U76" t="str">
        <f>_xlfn.XLOOKUP($P76,localities!$B$2:$B$49,localities!$G$2:$G$49,"NA")</f>
        <v>WGS84</v>
      </c>
      <c r="V76">
        <f>_xlfn.XLOOKUP($P76,localities!$B$2:$B$49,localities!$H$2:$H$49,"NA")</f>
        <v>5</v>
      </c>
      <c r="W76" t="str">
        <f>_xlfn.XLOOKUP($P76,localities!$B$2:$B$49,localities!$I$2:$I$49,"NA")</f>
        <v>NOR</v>
      </c>
      <c r="X76" t="str">
        <f>_xlfn.XLOOKUP($P76,localities!$B$2:$B$49,localities!$J$2:$J$49,"NA")</f>
        <v>Norway</v>
      </c>
      <c r="Y76" t="str">
        <f>_xlfn.XLOOKUP($P76,localities!$B$2:$B$49,localities!$K$2:$K$49,"NA")</f>
        <v>Sør-Trøndelag</v>
      </c>
      <c r="Z76" t="str">
        <f>_xlfn.XLOOKUP($P76,localities!$B$2:$B$49,localities!$L$2:$L$49,"NA")</f>
        <v>Ørland</v>
      </c>
    </row>
    <row r="77" spans="2:26" x14ac:dyDescent="0.3">
      <c r="B77" t="s">
        <v>143</v>
      </c>
      <c r="C77" s="23">
        <v>5</v>
      </c>
      <c r="E77" t="s">
        <v>52</v>
      </c>
      <c r="F77" s="19">
        <f>_xlfn.XLOOKUP($E77,parent_events!$B$2:$B$56,parent_events!$C$2:$C$56,"NA")</f>
        <v>45085</v>
      </c>
      <c r="G77">
        <f>_xlfn.XLOOKUP($E77,parent_events!$B$2:$B$56,parent_events!$D$2:$D$56,"NA")</f>
        <v>2023</v>
      </c>
      <c r="H77">
        <f>_xlfn.XLOOKUP($E77,parent_events!$B$2:$B$56,parent_events!$E$2:$E$56,"NA")</f>
        <v>6</v>
      </c>
      <c r="I77">
        <f>_xlfn.XLOOKUP($E77,parent_events!$B$2:$B$56,parent_events!$F$2:$F$56,"NA")</f>
        <v>8</v>
      </c>
      <c r="J77">
        <f>_xlfn.XLOOKUP($E77,parent_events!$B$2:$B$56,parent_events!$G$2:$G$56,"NA")</f>
        <v>3</v>
      </c>
      <c r="K77" t="str">
        <f>_xlfn.XLOOKUP($E77,parent_events!$B$2:$B$56,parent_events!$H$2:$H$56,"NA")</f>
        <v>Rot (1 min)</v>
      </c>
      <c r="L77" t="str">
        <f>_xlfn.XLOOKUP($E77,parent_events!$B$2:$B$56,parent_events!$I$2:$I$56,"NA")</f>
        <v>"5 replicates of 1 minute kick samples"</v>
      </c>
      <c r="M77">
        <f>_xlfn.XLOOKUP($E77,parent_events!$B$2:$B$56,parent_events!$J$2:$J$56,"NA")</f>
        <v>1</v>
      </c>
      <c r="N77" s="23" t="str">
        <f>_xlfn.XLOOKUP($E77,parent_events!$B$2:$B$56,parent_events!$K$2:$K$56,"NA")</f>
        <v>decimalMinute</v>
      </c>
      <c r="P77" t="str">
        <f>_xlfn.XLOOKUP($E77,parent_events!$B$2:$B$56,parent_events!$L$2:$L$56,"NA")</f>
        <v>Barsetvatnet_st1</v>
      </c>
      <c r="Q77" t="str">
        <f>_xlfn.XLOOKUP($P77,localities!$B$2:$B$49,localities!$C$2:$C$49,"NA")</f>
        <v>Barsetvatnet</v>
      </c>
      <c r="R77">
        <f>_xlfn.XLOOKUP($P77,localities!$B$2:$B$49,localities!$D$2:$D$49,"NA")</f>
        <v>1</v>
      </c>
      <c r="S77">
        <f>_xlfn.XLOOKUP($P77,localities!$B$2:$B$49,localities!$E$2:$E$49,"NA")</f>
        <v>63.797785500000003</v>
      </c>
      <c r="T77">
        <f>_xlfn.XLOOKUP($P77,localities!$B$2:$B$49,localities!$F$2:$F$49,"NA")</f>
        <v>9.8281852999999995</v>
      </c>
      <c r="U77" t="str">
        <f>_xlfn.XLOOKUP($P77,localities!$B$2:$B$49,localities!$G$2:$G$49,"NA")</f>
        <v>WGS84</v>
      </c>
      <c r="V77">
        <f>_xlfn.XLOOKUP($P77,localities!$B$2:$B$49,localities!$H$2:$H$49,"NA")</f>
        <v>5</v>
      </c>
      <c r="W77" t="str">
        <f>_xlfn.XLOOKUP($P77,localities!$B$2:$B$49,localities!$I$2:$I$49,"NA")</f>
        <v>NOR</v>
      </c>
      <c r="X77" t="str">
        <f>_xlfn.XLOOKUP($P77,localities!$B$2:$B$49,localities!$J$2:$J$49,"NA")</f>
        <v>Norway</v>
      </c>
      <c r="Y77" t="str">
        <f>_xlfn.XLOOKUP($P77,localities!$B$2:$B$49,localities!$K$2:$K$49,"NA")</f>
        <v>Sør-Trøndelag</v>
      </c>
      <c r="Z77" t="str">
        <f>_xlfn.XLOOKUP($P77,localities!$B$2:$B$49,localities!$L$2:$L$49,"NA")</f>
        <v>Ørland</v>
      </c>
    </row>
    <row r="78" spans="2:26" x14ac:dyDescent="0.3">
      <c r="B78" t="s">
        <v>144</v>
      </c>
      <c r="C78" s="23">
        <v>1</v>
      </c>
      <c r="E78" t="s">
        <v>53</v>
      </c>
      <c r="F78" s="19">
        <f>_xlfn.XLOOKUP($E78,parent_events!$B$2:$B$56,parent_events!$C$2:$C$56,"NA")</f>
        <v>45085</v>
      </c>
      <c r="G78">
        <f>_xlfn.XLOOKUP($E78,parent_events!$B$2:$B$56,parent_events!$D$2:$D$56,"NA")</f>
        <v>2023</v>
      </c>
      <c r="H78">
        <f>_xlfn.XLOOKUP($E78,parent_events!$B$2:$B$56,parent_events!$E$2:$E$56,"NA")</f>
        <v>6</v>
      </c>
      <c r="I78">
        <f>_xlfn.XLOOKUP($E78,parent_events!$B$2:$B$56,parent_events!$F$2:$F$56,"NA")</f>
        <v>8</v>
      </c>
      <c r="J78">
        <f>_xlfn.XLOOKUP($E78,parent_events!$B$2:$B$56,parent_events!$G$2:$G$56,"NA")</f>
        <v>3</v>
      </c>
      <c r="K78" t="str">
        <f>_xlfn.XLOOKUP($E78,parent_events!$B$2:$B$56,parent_events!$H$2:$H$56,"NA")</f>
        <v>Rot (1 min)</v>
      </c>
      <c r="L78" t="str">
        <f>_xlfn.XLOOKUP($E78,parent_events!$B$2:$B$56,parent_events!$I$2:$I$56,"NA")</f>
        <v>"5 replicates of 1 minute kick samples"</v>
      </c>
      <c r="M78">
        <f>_xlfn.XLOOKUP($E78,parent_events!$B$2:$B$56,parent_events!$J$2:$J$56,"NA")</f>
        <v>1</v>
      </c>
      <c r="N78" s="23" t="str">
        <f>_xlfn.XLOOKUP($E78,parent_events!$B$2:$B$56,parent_events!$K$2:$K$56,"NA")</f>
        <v>decimalMinute</v>
      </c>
      <c r="P78" t="str">
        <f>_xlfn.XLOOKUP($E78,parent_events!$B$2:$B$56,parent_events!$L$2:$L$56,"NA")</f>
        <v>Gjoljavatnet_st1</v>
      </c>
      <c r="Q78" t="str">
        <f>_xlfn.XLOOKUP($P78,localities!$B$2:$B$49,localities!$C$2:$C$49,"NA")</f>
        <v>Gjøljavatnet</v>
      </c>
      <c r="R78">
        <f>_xlfn.XLOOKUP($P78,localities!$B$2:$B$49,localities!$D$2:$D$49,"NA")</f>
        <v>1</v>
      </c>
      <c r="S78">
        <f>_xlfn.XLOOKUP($P78,localities!$B$2:$B$49,localities!$E$2:$E$49,"NA")</f>
        <v>63.789260900000002</v>
      </c>
      <c r="T78">
        <f>_xlfn.XLOOKUP($P78,localities!$B$2:$B$49,localities!$F$2:$F$49,"NA")</f>
        <v>10.0251734</v>
      </c>
      <c r="U78" t="str">
        <f>_xlfn.XLOOKUP($P78,localities!$B$2:$B$49,localities!$G$2:$G$49,"NA")</f>
        <v>WGS84</v>
      </c>
      <c r="V78">
        <f>_xlfn.XLOOKUP($P78,localities!$B$2:$B$49,localities!$H$2:$H$49,"NA")</f>
        <v>5</v>
      </c>
      <c r="W78" t="str">
        <f>_xlfn.XLOOKUP($P78,localities!$B$2:$B$49,localities!$I$2:$I$49,"NA")</f>
        <v>NOR</v>
      </c>
      <c r="X78" t="str">
        <f>_xlfn.XLOOKUP($P78,localities!$B$2:$B$49,localities!$J$2:$J$49,"NA")</f>
        <v>Norway</v>
      </c>
      <c r="Y78" t="str">
        <f>_xlfn.XLOOKUP($P78,localities!$B$2:$B$49,localities!$K$2:$K$49,"NA")</f>
        <v>Sør-Trøndelag</v>
      </c>
      <c r="Z78" t="str">
        <f>_xlfn.XLOOKUP($P78,localities!$B$2:$B$49,localities!$L$2:$L$49,"NA")</f>
        <v>Indre Fosen</v>
      </c>
    </row>
    <row r="79" spans="2:26" x14ac:dyDescent="0.3">
      <c r="B79" t="s">
        <v>145</v>
      </c>
      <c r="C79" s="23">
        <v>2</v>
      </c>
      <c r="E79" t="s">
        <v>53</v>
      </c>
      <c r="F79" s="19">
        <f>_xlfn.XLOOKUP($E79,parent_events!$B$2:$B$56,parent_events!$C$2:$C$56,"NA")</f>
        <v>45085</v>
      </c>
      <c r="G79">
        <f>_xlfn.XLOOKUP($E79,parent_events!$B$2:$B$56,parent_events!$D$2:$D$56,"NA")</f>
        <v>2023</v>
      </c>
      <c r="H79">
        <f>_xlfn.XLOOKUP($E79,parent_events!$B$2:$B$56,parent_events!$E$2:$E$56,"NA")</f>
        <v>6</v>
      </c>
      <c r="I79">
        <f>_xlfn.XLOOKUP($E79,parent_events!$B$2:$B$56,parent_events!$F$2:$F$56,"NA")</f>
        <v>8</v>
      </c>
      <c r="J79">
        <f>_xlfn.XLOOKUP($E79,parent_events!$B$2:$B$56,parent_events!$G$2:$G$56,"NA")</f>
        <v>3</v>
      </c>
      <c r="K79" t="str">
        <f>_xlfn.XLOOKUP($E79,parent_events!$B$2:$B$56,parent_events!$H$2:$H$56,"NA")</f>
        <v>Rot (1 min)</v>
      </c>
      <c r="L79" t="str">
        <f>_xlfn.XLOOKUP($E79,parent_events!$B$2:$B$56,parent_events!$I$2:$I$56,"NA")</f>
        <v>"5 replicates of 1 minute kick samples"</v>
      </c>
      <c r="M79">
        <f>_xlfn.XLOOKUP($E79,parent_events!$B$2:$B$56,parent_events!$J$2:$J$56,"NA")</f>
        <v>1</v>
      </c>
      <c r="N79" s="23" t="str">
        <f>_xlfn.XLOOKUP($E79,parent_events!$B$2:$B$56,parent_events!$K$2:$K$56,"NA")</f>
        <v>decimalMinute</v>
      </c>
      <c r="P79" t="str">
        <f>_xlfn.XLOOKUP($E79,parent_events!$B$2:$B$56,parent_events!$L$2:$L$56,"NA")</f>
        <v>Gjoljavatnet_st1</v>
      </c>
      <c r="Q79" t="str">
        <f>_xlfn.XLOOKUP($P79,localities!$B$2:$B$49,localities!$C$2:$C$49,"NA")</f>
        <v>Gjøljavatnet</v>
      </c>
      <c r="R79">
        <f>_xlfn.XLOOKUP($P79,localities!$B$2:$B$49,localities!$D$2:$D$49,"NA")</f>
        <v>1</v>
      </c>
      <c r="S79">
        <f>_xlfn.XLOOKUP($P79,localities!$B$2:$B$49,localities!$E$2:$E$49,"NA")</f>
        <v>63.789260900000002</v>
      </c>
      <c r="T79">
        <f>_xlfn.XLOOKUP($P79,localities!$B$2:$B$49,localities!$F$2:$F$49,"NA")</f>
        <v>10.0251734</v>
      </c>
      <c r="U79" t="str">
        <f>_xlfn.XLOOKUP($P79,localities!$B$2:$B$49,localities!$G$2:$G$49,"NA")</f>
        <v>WGS84</v>
      </c>
      <c r="V79">
        <f>_xlfn.XLOOKUP($P79,localities!$B$2:$B$49,localities!$H$2:$H$49,"NA")</f>
        <v>5</v>
      </c>
      <c r="W79" t="str">
        <f>_xlfn.XLOOKUP($P79,localities!$B$2:$B$49,localities!$I$2:$I$49,"NA")</f>
        <v>NOR</v>
      </c>
      <c r="X79" t="str">
        <f>_xlfn.XLOOKUP($P79,localities!$B$2:$B$49,localities!$J$2:$J$49,"NA")</f>
        <v>Norway</v>
      </c>
      <c r="Y79" t="str">
        <f>_xlfn.XLOOKUP($P79,localities!$B$2:$B$49,localities!$K$2:$K$49,"NA")</f>
        <v>Sør-Trøndelag</v>
      </c>
      <c r="Z79" t="str">
        <f>_xlfn.XLOOKUP($P79,localities!$B$2:$B$49,localities!$L$2:$L$49,"NA")</f>
        <v>Indre Fosen</v>
      </c>
    </row>
    <row r="80" spans="2:26" x14ac:dyDescent="0.3">
      <c r="B80" t="s">
        <v>146</v>
      </c>
      <c r="C80" s="23">
        <v>3</v>
      </c>
      <c r="E80" t="s">
        <v>53</v>
      </c>
      <c r="F80" s="19">
        <f>_xlfn.XLOOKUP($E80,parent_events!$B$2:$B$56,parent_events!$C$2:$C$56,"NA")</f>
        <v>45085</v>
      </c>
      <c r="G80">
        <f>_xlfn.XLOOKUP($E80,parent_events!$B$2:$B$56,parent_events!$D$2:$D$56,"NA")</f>
        <v>2023</v>
      </c>
      <c r="H80">
        <f>_xlfn.XLOOKUP($E80,parent_events!$B$2:$B$56,parent_events!$E$2:$E$56,"NA")</f>
        <v>6</v>
      </c>
      <c r="I80">
        <f>_xlfn.XLOOKUP($E80,parent_events!$B$2:$B$56,parent_events!$F$2:$F$56,"NA")</f>
        <v>8</v>
      </c>
      <c r="J80">
        <f>_xlfn.XLOOKUP($E80,parent_events!$B$2:$B$56,parent_events!$G$2:$G$56,"NA")</f>
        <v>3</v>
      </c>
      <c r="K80" t="str">
        <f>_xlfn.XLOOKUP($E80,parent_events!$B$2:$B$56,parent_events!$H$2:$H$56,"NA")</f>
        <v>Rot (1 min)</v>
      </c>
      <c r="L80" t="str">
        <f>_xlfn.XLOOKUP($E80,parent_events!$B$2:$B$56,parent_events!$I$2:$I$56,"NA")</f>
        <v>"5 replicates of 1 minute kick samples"</v>
      </c>
      <c r="M80">
        <f>_xlfn.XLOOKUP($E80,parent_events!$B$2:$B$56,parent_events!$J$2:$J$56,"NA")</f>
        <v>1</v>
      </c>
      <c r="N80" s="23" t="str">
        <f>_xlfn.XLOOKUP($E80,parent_events!$B$2:$B$56,parent_events!$K$2:$K$56,"NA")</f>
        <v>decimalMinute</v>
      </c>
      <c r="P80" t="str">
        <f>_xlfn.XLOOKUP($E80,parent_events!$B$2:$B$56,parent_events!$L$2:$L$56,"NA")</f>
        <v>Gjoljavatnet_st1</v>
      </c>
      <c r="Q80" t="str">
        <f>_xlfn.XLOOKUP($P80,localities!$B$2:$B$49,localities!$C$2:$C$49,"NA")</f>
        <v>Gjøljavatnet</v>
      </c>
      <c r="R80">
        <f>_xlfn.XLOOKUP($P80,localities!$B$2:$B$49,localities!$D$2:$D$49,"NA")</f>
        <v>1</v>
      </c>
      <c r="S80">
        <f>_xlfn.XLOOKUP($P80,localities!$B$2:$B$49,localities!$E$2:$E$49,"NA")</f>
        <v>63.789260900000002</v>
      </c>
      <c r="T80">
        <f>_xlfn.XLOOKUP($P80,localities!$B$2:$B$49,localities!$F$2:$F$49,"NA")</f>
        <v>10.0251734</v>
      </c>
      <c r="U80" t="str">
        <f>_xlfn.XLOOKUP($P80,localities!$B$2:$B$49,localities!$G$2:$G$49,"NA")</f>
        <v>WGS84</v>
      </c>
      <c r="V80">
        <f>_xlfn.XLOOKUP($P80,localities!$B$2:$B$49,localities!$H$2:$H$49,"NA")</f>
        <v>5</v>
      </c>
      <c r="W80" t="str">
        <f>_xlfn.XLOOKUP($P80,localities!$B$2:$B$49,localities!$I$2:$I$49,"NA")</f>
        <v>NOR</v>
      </c>
      <c r="X80" t="str">
        <f>_xlfn.XLOOKUP($P80,localities!$B$2:$B$49,localities!$J$2:$J$49,"NA")</f>
        <v>Norway</v>
      </c>
      <c r="Y80" t="str">
        <f>_xlfn.XLOOKUP($P80,localities!$B$2:$B$49,localities!$K$2:$K$49,"NA")</f>
        <v>Sør-Trøndelag</v>
      </c>
      <c r="Z80" t="str">
        <f>_xlfn.XLOOKUP($P80,localities!$B$2:$B$49,localities!$L$2:$L$49,"NA")</f>
        <v>Indre Fosen</v>
      </c>
    </row>
    <row r="81" spans="2:26" x14ac:dyDescent="0.3">
      <c r="B81" t="s">
        <v>147</v>
      </c>
      <c r="C81" s="23">
        <v>4</v>
      </c>
      <c r="E81" t="s">
        <v>53</v>
      </c>
      <c r="F81" s="19">
        <f>_xlfn.XLOOKUP($E81,parent_events!$B$2:$B$56,parent_events!$C$2:$C$56,"NA")</f>
        <v>45085</v>
      </c>
      <c r="G81">
        <f>_xlfn.XLOOKUP($E81,parent_events!$B$2:$B$56,parent_events!$D$2:$D$56,"NA")</f>
        <v>2023</v>
      </c>
      <c r="H81">
        <f>_xlfn.XLOOKUP($E81,parent_events!$B$2:$B$56,parent_events!$E$2:$E$56,"NA")</f>
        <v>6</v>
      </c>
      <c r="I81">
        <f>_xlfn.XLOOKUP($E81,parent_events!$B$2:$B$56,parent_events!$F$2:$F$56,"NA")</f>
        <v>8</v>
      </c>
      <c r="J81">
        <f>_xlfn.XLOOKUP($E81,parent_events!$B$2:$B$56,parent_events!$G$2:$G$56,"NA")</f>
        <v>3</v>
      </c>
      <c r="K81" t="str">
        <f>_xlfn.XLOOKUP($E81,parent_events!$B$2:$B$56,parent_events!$H$2:$H$56,"NA")</f>
        <v>Rot (1 min)</v>
      </c>
      <c r="L81" t="str">
        <f>_xlfn.XLOOKUP($E81,parent_events!$B$2:$B$56,parent_events!$I$2:$I$56,"NA")</f>
        <v>"5 replicates of 1 minute kick samples"</v>
      </c>
      <c r="M81">
        <f>_xlfn.XLOOKUP($E81,parent_events!$B$2:$B$56,parent_events!$J$2:$J$56,"NA")</f>
        <v>1</v>
      </c>
      <c r="N81" s="23" t="str">
        <f>_xlfn.XLOOKUP($E81,parent_events!$B$2:$B$56,parent_events!$K$2:$K$56,"NA")</f>
        <v>decimalMinute</v>
      </c>
      <c r="P81" t="str">
        <f>_xlfn.XLOOKUP($E81,parent_events!$B$2:$B$56,parent_events!$L$2:$L$56,"NA")</f>
        <v>Gjoljavatnet_st1</v>
      </c>
      <c r="Q81" t="str">
        <f>_xlfn.XLOOKUP($P81,localities!$B$2:$B$49,localities!$C$2:$C$49,"NA")</f>
        <v>Gjøljavatnet</v>
      </c>
      <c r="R81">
        <f>_xlfn.XLOOKUP($P81,localities!$B$2:$B$49,localities!$D$2:$D$49,"NA")</f>
        <v>1</v>
      </c>
      <c r="S81">
        <f>_xlfn.XLOOKUP($P81,localities!$B$2:$B$49,localities!$E$2:$E$49,"NA")</f>
        <v>63.789260900000002</v>
      </c>
      <c r="T81">
        <f>_xlfn.XLOOKUP($P81,localities!$B$2:$B$49,localities!$F$2:$F$49,"NA")</f>
        <v>10.0251734</v>
      </c>
      <c r="U81" t="str">
        <f>_xlfn.XLOOKUP($P81,localities!$B$2:$B$49,localities!$G$2:$G$49,"NA")</f>
        <v>WGS84</v>
      </c>
      <c r="V81">
        <f>_xlfn.XLOOKUP($P81,localities!$B$2:$B$49,localities!$H$2:$H$49,"NA")</f>
        <v>5</v>
      </c>
      <c r="W81" t="str">
        <f>_xlfn.XLOOKUP($P81,localities!$B$2:$B$49,localities!$I$2:$I$49,"NA")</f>
        <v>NOR</v>
      </c>
      <c r="X81" t="str">
        <f>_xlfn.XLOOKUP($P81,localities!$B$2:$B$49,localities!$J$2:$J$49,"NA")</f>
        <v>Norway</v>
      </c>
      <c r="Y81" t="str">
        <f>_xlfn.XLOOKUP($P81,localities!$B$2:$B$49,localities!$K$2:$K$49,"NA")</f>
        <v>Sør-Trøndelag</v>
      </c>
      <c r="Z81" t="str">
        <f>_xlfn.XLOOKUP($P81,localities!$B$2:$B$49,localities!$L$2:$L$49,"NA")</f>
        <v>Indre Fosen</v>
      </c>
    </row>
    <row r="82" spans="2:26" x14ac:dyDescent="0.3">
      <c r="B82" t="s">
        <v>148</v>
      </c>
      <c r="C82" s="23">
        <v>5</v>
      </c>
      <c r="E82" t="s">
        <v>53</v>
      </c>
      <c r="F82" s="19">
        <f>_xlfn.XLOOKUP($E82,parent_events!$B$2:$B$56,parent_events!$C$2:$C$56,"NA")</f>
        <v>45085</v>
      </c>
      <c r="G82">
        <f>_xlfn.XLOOKUP($E82,parent_events!$B$2:$B$56,parent_events!$D$2:$D$56,"NA")</f>
        <v>2023</v>
      </c>
      <c r="H82">
        <f>_xlfn.XLOOKUP($E82,parent_events!$B$2:$B$56,parent_events!$E$2:$E$56,"NA")</f>
        <v>6</v>
      </c>
      <c r="I82">
        <f>_xlfn.XLOOKUP($E82,parent_events!$B$2:$B$56,parent_events!$F$2:$F$56,"NA")</f>
        <v>8</v>
      </c>
      <c r="J82">
        <f>_xlfn.XLOOKUP($E82,parent_events!$B$2:$B$56,parent_events!$G$2:$G$56,"NA")</f>
        <v>3</v>
      </c>
      <c r="K82" t="str">
        <f>_xlfn.XLOOKUP($E82,parent_events!$B$2:$B$56,parent_events!$H$2:$H$56,"NA")</f>
        <v>Rot (1 min)</v>
      </c>
      <c r="L82" t="str">
        <f>_xlfn.XLOOKUP($E82,parent_events!$B$2:$B$56,parent_events!$I$2:$I$56,"NA")</f>
        <v>"5 replicates of 1 minute kick samples"</v>
      </c>
      <c r="M82">
        <f>_xlfn.XLOOKUP($E82,parent_events!$B$2:$B$56,parent_events!$J$2:$J$56,"NA")</f>
        <v>1</v>
      </c>
      <c r="N82" s="23" t="str">
        <f>_xlfn.XLOOKUP($E82,parent_events!$B$2:$B$56,parent_events!$K$2:$K$56,"NA")</f>
        <v>decimalMinute</v>
      </c>
      <c r="P82" t="str">
        <f>_xlfn.XLOOKUP($E82,parent_events!$B$2:$B$56,parent_events!$L$2:$L$56,"NA")</f>
        <v>Gjoljavatnet_st1</v>
      </c>
      <c r="Q82" t="str">
        <f>_xlfn.XLOOKUP($P82,localities!$B$2:$B$49,localities!$C$2:$C$49,"NA")</f>
        <v>Gjøljavatnet</v>
      </c>
      <c r="R82">
        <f>_xlfn.XLOOKUP($P82,localities!$B$2:$B$49,localities!$D$2:$D$49,"NA")</f>
        <v>1</v>
      </c>
      <c r="S82">
        <f>_xlfn.XLOOKUP($P82,localities!$B$2:$B$49,localities!$E$2:$E$49,"NA")</f>
        <v>63.789260900000002</v>
      </c>
      <c r="T82">
        <f>_xlfn.XLOOKUP($P82,localities!$B$2:$B$49,localities!$F$2:$F$49,"NA")</f>
        <v>10.0251734</v>
      </c>
      <c r="U82" t="str">
        <f>_xlfn.XLOOKUP($P82,localities!$B$2:$B$49,localities!$G$2:$G$49,"NA")</f>
        <v>WGS84</v>
      </c>
      <c r="V82">
        <f>_xlfn.XLOOKUP($P82,localities!$B$2:$B$49,localities!$H$2:$H$49,"NA")</f>
        <v>5</v>
      </c>
      <c r="W82" t="str">
        <f>_xlfn.XLOOKUP($P82,localities!$B$2:$B$49,localities!$I$2:$I$49,"NA")</f>
        <v>NOR</v>
      </c>
      <c r="X82" t="str">
        <f>_xlfn.XLOOKUP($P82,localities!$B$2:$B$49,localities!$J$2:$J$49,"NA")</f>
        <v>Norway</v>
      </c>
      <c r="Y82" t="str">
        <f>_xlfn.XLOOKUP($P82,localities!$B$2:$B$49,localities!$K$2:$K$49,"NA")</f>
        <v>Sør-Trøndelag</v>
      </c>
      <c r="Z82" t="str">
        <f>_xlfn.XLOOKUP($P82,localities!$B$2:$B$49,localities!$L$2:$L$49,"NA")</f>
        <v>Indre Fosen</v>
      </c>
    </row>
    <row r="83" spans="2:26" x14ac:dyDescent="0.3">
      <c r="B83" t="s">
        <v>149</v>
      </c>
      <c r="C83" s="23">
        <v>1</v>
      </c>
      <c r="E83" t="s">
        <v>54</v>
      </c>
      <c r="F83" s="19">
        <f>_xlfn.XLOOKUP($E83,parent_events!$B$2:$B$56,parent_events!$C$2:$C$56,"NA")</f>
        <v>45085</v>
      </c>
      <c r="G83">
        <f>_xlfn.XLOOKUP($E83,parent_events!$B$2:$B$56,parent_events!$D$2:$D$56,"NA")</f>
        <v>2023</v>
      </c>
      <c r="H83">
        <f>_xlfn.XLOOKUP($E83,parent_events!$B$2:$B$56,parent_events!$E$2:$E$56,"NA")</f>
        <v>6</v>
      </c>
      <c r="I83">
        <f>_xlfn.XLOOKUP($E83,parent_events!$B$2:$B$56,parent_events!$F$2:$F$56,"NA")</f>
        <v>8</v>
      </c>
      <c r="J83">
        <f>_xlfn.XLOOKUP($E83,parent_events!$B$2:$B$56,parent_events!$G$2:$G$56,"NA")</f>
        <v>3</v>
      </c>
      <c r="K83" t="str">
        <f>_xlfn.XLOOKUP($E83,parent_events!$B$2:$B$56,parent_events!$H$2:$H$56,"NA")</f>
        <v>Rot (1 min)</v>
      </c>
      <c r="L83" t="str">
        <f>_xlfn.XLOOKUP($E83,parent_events!$B$2:$B$56,parent_events!$I$2:$I$56,"NA")</f>
        <v>"5 replicates of 1 minute kick samples"</v>
      </c>
      <c r="M83">
        <f>_xlfn.XLOOKUP($E83,parent_events!$B$2:$B$56,parent_events!$J$2:$J$56,"NA")</f>
        <v>1</v>
      </c>
      <c r="N83" s="23" t="str">
        <f>_xlfn.XLOOKUP($E83,parent_events!$B$2:$B$56,parent_events!$K$2:$K$56,"NA")</f>
        <v>decimalMinute</v>
      </c>
      <c r="P83" t="str">
        <f>_xlfn.XLOOKUP($E83,parent_events!$B$2:$B$56,parent_events!$L$2:$L$56,"NA")</f>
        <v>Storvatnet_st1</v>
      </c>
      <c r="Q83" t="str">
        <f>_xlfn.XLOOKUP($P83,localities!$B$2:$B$49,localities!$C$2:$C$49,"NA")</f>
        <v>Storvatnet</v>
      </c>
      <c r="R83">
        <f>_xlfn.XLOOKUP($P83,localities!$B$2:$B$49,localities!$D$2:$D$49,"NA")</f>
        <v>1</v>
      </c>
      <c r="S83">
        <f>_xlfn.XLOOKUP($P83,localities!$B$2:$B$49,localities!$E$2:$E$49,"NA")</f>
        <v>63.621177600000003</v>
      </c>
      <c r="T83">
        <f>_xlfn.XLOOKUP($P83,localities!$B$2:$B$49,localities!$F$2:$F$49,"NA")</f>
        <v>10.2333759</v>
      </c>
      <c r="U83" t="str">
        <f>_xlfn.XLOOKUP($P83,localities!$B$2:$B$49,localities!$G$2:$G$49,"NA")</f>
        <v>WGS84</v>
      </c>
      <c r="V83">
        <f>_xlfn.XLOOKUP($P83,localities!$B$2:$B$49,localities!$H$2:$H$49,"NA")</f>
        <v>5</v>
      </c>
      <c r="W83" t="str">
        <f>_xlfn.XLOOKUP($P83,localities!$B$2:$B$49,localities!$I$2:$I$49,"NA")</f>
        <v>NOR</v>
      </c>
      <c r="X83" t="str">
        <f>_xlfn.XLOOKUP($P83,localities!$B$2:$B$49,localities!$J$2:$J$49,"NA")</f>
        <v>Norway</v>
      </c>
      <c r="Y83" t="str">
        <f>_xlfn.XLOOKUP($P83,localities!$B$2:$B$49,localities!$K$2:$K$49,"NA")</f>
        <v>Nord-Trøndelag</v>
      </c>
      <c r="Z83" t="str">
        <f>_xlfn.XLOOKUP($P83,localities!$B$2:$B$49,localities!$L$2:$L$49,"NA")</f>
        <v>Indre Fosen</v>
      </c>
    </row>
    <row r="84" spans="2:26" x14ac:dyDescent="0.3">
      <c r="B84" t="s">
        <v>150</v>
      </c>
      <c r="C84" s="23">
        <v>2</v>
      </c>
      <c r="E84" t="s">
        <v>54</v>
      </c>
      <c r="F84" s="19">
        <f>_xlfn.XLOOKUP($E84,parent_events!$B$2:$B$56,parent_events!$C$2:$C$56,"NA")</f>
        <v>45085</v>
      </c>
      <c r="G84">
        <f>_xlfn.XLOOKUP($E84,parent_events!$B$2:$B$56,parent_events!$D$2:$D$56,"NA")</f>
        <v>2023</v>
      </c>
      <c r="H84">
        <f>_xlfn.XLOOKUP($E84,parent_events!$B$2:$B$56,parent_events!$E$2:$E$56,"NA")</f>
        <v>6</v>
      </c>
      <c r="I84">
        <f>_xlfn.XLOOKUP($E84,parent_events!$B$2:$B$56,parent_events!$F$2:$F$56,"NA")</f>
        <v>8</v>
      </c>
      <c r="J84">
        <f>_xlfn.XLOOKUP($E84,parent_events!$B$2:$B$56,parent_events!$G$2:$G$56,"NA")</f>
        <v>3</v>
      </c>
      <c r="K84" t="str">
        <f>_xlfn.XLOOKUP($E84,parent_events!$B$2:$B$56,parent_events!$H$2:$H$56,"NA")</f>
        <v>Rot (1 min)</v>
      </c>
      <c r="L84" t="str">
        <f>_xlfn.XLOOKUP($E84,parent_events!$B$2:$B$56,parent_events!$I$2:$I$56,"NA")</f>
        <v>"5 replicates of 1 minute kick samples"</v>
      </c>
      <c r="M84">
        <f>_xlfn.XLOOKUP($E84,parent_events!$B$2:$B$56,parent_events!$J$2:$J$56,"NA")</f>
        <v>1</v>
      </c>
      <c r="N84" s="23" t="str">
        <f>_xlfn.XLOOKUP($E84,parent_events!$B$2:$B$56,parent_events!$K$2:$K$56,"NA")</f>
        <v>decimalMinute</v>
      </c>
      <c r="P84" t="str">
        <f>_xlfn.XLOOKUP($E84,parent_events!$B$2:$B$56,parent_events!$L$2:$L$56,"NA")</f>
        <v>Storvatnet_st1</v>
      </c>
      <c r="Q84" t="str">
        <f>_xlfn.XLOOKUP($P84,localities!$B$2:$B$49,localities!$C$2:$C$49,"NA")</f>
        <v>Storvatnet</v>
      </c>
      <c r="R84">
        <f>_xlfn.XLOOKUP($P84,localities!$B$2:$B$49,localities!$D$2:$D$49,"NA")</f>
        <v>1</v>
      </c>
      <c r="S84">
        <f>_xlfn.XLOOKUP($P84,localities!$B$2:$B$49,localities!$E$2:$E$49,"NA")</f>
        <v>63.621177600000003</v>
      </c>
      <c r="T84">
        <f>_xlfn.XLOOKUP($P84,localities!$B$2:$B$49,localities!$F$2:$F$49,"NA")</f>
        <v>10.2333759</v>
      </c>
      <c r="U84" t="str">
        <f>_xlfn.XLOOKUP($P84,localities!$B$2:$B$49,localities!$G$2:$G$49,"NA")</f>
        <v>WGS84</v>
      </c>
      <c r="V84">
        <f>_xlfn.XLOOKUP($P84,localities!$B$2:$B$49,localities!$H$2:$H$49,"NA")</f>
        <v>5</v>
      </c>
      <c r="W84" t="str">
        <f>_xlfn.XLOOKUP($P84,localities!$B$2:$B$49,localities!$I$2:$I$49,"NA")</f>
        <v>NOR</v>
      </c>
      <c r="X84" t="str">
        <f>_xlfn.XLOOKUP($P84,localities!$B$2:$B$49,localities!$J$2:$J$49,"NA")</f>
        <v>Norway</v>
      </c>
      <c r="Y84" t="str">
        <f>_xlfn.XLOOKUP($P84,localities!$B$2:$B$49,localities!$K$2:$K$49,"NA")</f>
        <v>Nord-Trøndelag</v>
      </c>
      <c r="Z84" t="str">
        <f>_xlfn.XLOOKUP($P84,localities!$B$2:$B$49,localities!$L$2:$L$49,"NA")</f>
        <v>Indre Fosen</v>
      </c>
    </row>
    <row r="85" spans="2:26" x14ac:dyDescent="0.3">
      <c r="B85" t="s">
        <v>151</v>
      </c>
      <c r="C85" s="23">
        <v>3</v>
      </c>
      <c r="E85" t="s">
        <v>54</v>
      </c>
      <c r="F85" s="19">
        <f>_xlfn.XLOOKUP($E85,parent_events!$B$2:$B$56,parent_events!$C$2:$C$56,"NA")</f>
        <v>45085</v>
      </c>
      <c r="G85">
        <f>_xlfn.XLOOKUP($E85,parent_events!$B$2:$B$56,parent_events!$D$2:$D$56,"NA")</f>
        <v>2023</v>
      </c>
      <c r="H85">
        <f>_xlfn.XLOOKUP($E85,parent_events!$B$2:$B$56,parent_events!$E$2:$E$56,"NA")</f>
        <v>6</v>
      </c>
      <c r="I85">
        <f>_xlfn.XLOOKUP($E85,parent_events!$B$2:$B$56,parent_events!$F$2:$F$56,"NA")</f>
        <v>8</v>
      </c>
      <c r="J85">
        <f>_xlfn.XLOOKUP($E85,parent_events!$B$2:$B$56,parent_events!$G$2:$G$56,"NA")</f>
        <v>3</v>
      </c>
      <c r="K85" t="str">
        <f>_xlfn.XLOOKUP($E85,parent_events!$B$2:$B$56,parent_events!$H$2:$H$56,"NA")</f>
        <v>Rot (1 min)</v>
      </c>
      <c r="L85" t="str">
        <f>_xlfn.XLOOKUP($E85,parent_events!$B$2:$B$56,parent_events!$I$2:$I$56,"NA")</f>
        <v>"5 replicates of 1 minute kick samples"</v>
      </c>
      <c r="M85">
        <f>_xlfn.XLOOKUP($E85,parent_events!$B$2:$B$56,parent_events!$J$2:$J$56,"NA")</f>
        <v>1</v>
      </c>
      <c r="N85" s="23" t="str">
        <f>_xlfn.XLOOKUP($E85,parent_events!$B$2:$B$56,parent_events!$K$2:$K$56,"NA")</f>
        <v>decimalMinute</v>
      </c>
      <c r="P85" t="str">
        <f>_xlfn.XLOOKUP($E85,parent_events!$B$2:$B$56,parent_events!$L$2:$L$56,"NA")</f>
        <v>Storvatnet_st1</v>
      </c>
      <c r="Q85" t="str">
        <f>_xlfn.XLOOKUP($P85,localities!$B$2:$B$49,localities!$C$2:$C$49,"NA")</f>
        <v>Storvatnet</v>
      </c>
      <c r="R85">
        <f>_xlfn.XLOOKUP($P85,localities!$B$2:$B$49,localities!$D$2:$D$49,"NA")</f>
        <v>1</v>
      </c>
      <c r="S85">
        <f>_xlfn.XLOOKUP($P85,localities!$B$2:$B$49,localities!$E$2:$E$49,"NA")</f>
        <v>63.621177600000003</v>
      </c>
      <c r="T85">
        <f>_xlfn.XLOOKUP($P85,localities!$B$2:$B$49,localities!$F$2:$F$49,"NA")</f>
        <v>10.2333759</v>
      </c>
      <c r="U85" t="str">
        <f>_xlfn.XLOOKUP($P85,localities!$B$2:$B$49,localities!$G$2:$G$49,"NA")</f>
        <v>WGS84</v>
      </c>
      <c r="V85">
        <f>_xlfn.XLOOKUP($P85,localities!$B$2:$B$49,localities!$H$2:$H$49,"NA")</f>
        <v>5</v>
      </c>
      <c r="W85" t="str">
        <f>_xlfn.XLOOKUP($P85,localities!$B$2:$B$49,localities!$I$2:$I$49,"NA")</f>
        <v>NOR</v>
      </c>
      <c r="X85" t="str">
        <f>_xlfn.XLOOKUP($P85,localities!$B$2:$B$49,localities!$J$2:$J$49,"NA")</f>
        <v>Norway</v>
      </c>
      <c r="Y85" t="str">
        <f>_xlfn.XLOOKUP($P85,localities!$B$2:$B$49,localities!$K$2:$K$49,"NA")</f>
        <v>Nord-Trøndelag</v>
      </c>
      <c r="Z85" t="str">
        <f>_xlfn.XLOOKUP($P85,localities!$B$2:$B$49,localities!$L$2:$L$49,"NA")</f>
        <v>Indre Fosen</v>
      </c>
    </row>
    <row r="86" spans="2:26" x14ac:dyDescent="0.3">
      <c r="B86" t="s">
        <v>152</v>
      </c>
      <c r="C86" s="23">
        <v>4</v>
      </c>
      <c r="E86" t="s">
        <v>54</v>
      </c>
      <c r="F86" s="19">
        <f>_xlfn.XLOOKUP($E86,parent_events!$B$2:$B$56,parent_events!$C$2:$C$56,"NA")</f>
        <v>45085</v>
      </c>
      <c r="G86">
        <f>_xlfn.XLOOKUP($E86,parent_events!$B$2:$B$56,parent_events!$D$2:$D$56,"NA")</f>
        <v>2023</v>
      </c>
      <c r="H86">
        <f>_xlfn.XLOOKUP($E86,parent_events!$B$2:$B$56,parent_events!$E$2:$E$56,"NA")</f>
        <v>6</v>
      </c>
      <c r="I86">
        <f>_xlfn.XLOOKUP($E86,parent_events!$B$2:$B$56,parent_events!$F$2:$F$56,"NA")</f>
        <v>8</v>
      </c>
      <c r="J86">
        <f>_xlfn.XLOOKUP($E86,parent_events!$B$2:$B$56,parent_events!$G$2:$G$56,"NA")</f>
        <v>3</v>
      </c>
      <c r="K86" t="str">
        <f>_xlfn.XLOOKUP($E86,parent_events!$B$2:$B$56,parent_events!$H$2:$H$56,"NA")</f>
        <v>Rot (1 min)</v>
      </c>
      <c r="L86" t="str">
        <f>_xlfn.XLOOKUP($E86,parent_events!$B$2:$B$56,parent_events!$I$2:$I$56,"NA")</f>
        <v>"5 replicates of 1 minute kick samples"</v>
      </c>
      <c r="M86">
        <f>_xlfn.XLOOKUP($E86,parent_events!$B$2:$B$56,parent_events!$J$2:$J$56,"NA")</f>
        <v>1</v>
      </c>
      <c r="N86" s="23" t="str">
        <f>_xlfn.XLOOKUP($E86,parent_events!$B$2:$B$56,parent_events!$K$2:$K$56,"NA")</f>
        <v>decimalMinute</v>
      </c>
      <c r="P86" t="str">
        <f>_xlfn.XLOOKUP($E86,parent_events!$B$2:$B$56,parent_events!$L$2:$L$56,"NA")</f>
        <v>Storvatnet_st1</v>
      </c>
      <c r="Q86" t="str">
        <f>_xlfn.XLOOKUP($P86,localities!$B$2:$B$49,localities!$C$2:$C$49,"NA")</f>
        <v>Storvatnet</v>
      </c>
      <c r="R86">
        <f>_xlfn.XLOOKUP($P86,localities!$B$2:$B$49,localities!$D$2:$D$49,"NA")</f>
        <v>1</v>
      </c>
      <c r="S86">
        <f>_xlfn.XLOOKUP($P86,localities!$B$2:$B$49,localities!$E$2:$E$49,"NA")</f>
        <v>63.621177600000003</v>
      </c>
      <c r="T86">
        <f>_xlfn.XLOOKUP($P86,localities!$B$2:$B$49,localities!$F$2:$F$49,"NA")</f>
        <v>10.2333759</v>
      </c>
      <c r="U86" t="str">
        <f>_xlfn.XLOOKUP($P86,localities!$B$2:$B$49,localities!$G$2:$G$49,"NA")</f>
        <v>WGS84</v>
      </c>
      <c r="V86">
        <f>_xlfn.XLOOKUP($P86,localities!$B$2:$B$49,localities!$H$2:$H$49,"NA")</f>
        <v>5</v>
      </c>
      <c r="W86" t="str">
        <f>_xlfn.XLOOKUP($P86,localities!$B$2:$B$49,localities!$I$2:$I$49,"NA")</f>
        <v>NOR</v>
      </c>
      <c r="X86" t="str">
        <f>_xlfn.XLOOKUP($P86,localities!$B$2:$B$49,localities!$J$2:$J$49,"NA")</f>
        <v>Norway</v>
      </c>
      <c r="Y86" t="str">
        <f>_xlfn.XLOOKUP($P86,localities!$B$2:$B$49,localities!$K$2:$K$49,"NA")</f>
        <v>Nord-Trøndelag</v>
      </c>
      <c r="Z86" t="str">
        <f>_xlfn.XLOOKUP($P86,localities!$B$2:$B$49,localities!$L$2:$L$49,"NA")</f>
        <v>Indre Fosen</v>
      </c>
    </row>
    <row r="87" spans="2:26" x14ac:dyDescent="0.3">
      <c r="B87" t="s">
        <v>153</v>
      </c>
      <c r="C87" s="23">
        <v>5</v>
      </c>
      <c r="E87" t="s">
        <v>54</v>
      </c>
      <c r="F87" s="19">
        <f>_xlfn.XLOOKUP($E87,parent_events!$B$2:$B$56,parent_events!$C$2:$C$56,"NA")</f>
        <v>45085</v>
      </c>
      <c r="G87">
        <f>_xlfn.XLOOKUP($E87,parent_events!$B$2:$B$56,parent_events!$D$2:$D$56,"NA")</f>
        <v>2023</v>
      </c>
      <c r="H87">
        <f>_xlfn.XLOOKUP($E87,parent_events!$B$2:$B$56,parent_events!$E$2:$E$56,"NA")</f>
        <v>6</v>
      </c>
      <c r="I87">
        <f>_xlfn.XLOOKUP($E87,parent_events!$B$2:$B$56,parent_events!$F$2:$F$56,"NA")</f>
        <v>8</v>
      </c>
      <c r="J87">
        <f>_xlfn.XLOOKUP($E87,parent_events!$B$2:$B$56,parent_events!$G$2:$G$56,"NA")</f>
        <v>3</v>
      </c>
      <c r="K87" t="str">
        <f>_xlfn.XLOOKUP($E87,parent_events!$B$2:$B$56,parent_events!$H$2:$H$56,"NA")</f>
        <v>Rot (1 min)</v>
      </c>
      <c r="L87" t="str">
        <f>_xlfn.XLOOKUP($E87,parent_events!$B$2:$B$56,parent_events!$I$2:$I$56,"NA")</f>
        <v>"5 replicates of 1 minute kick samples"</v>
      </c>
      <c r="M87">
        <f>_xlfn.XLOOKUP($E87,parent_events!$B$2:$B$56,parent_events!$J$2:$J$56,"NA")</f>
        <v>1</v>
      </c>
      <c r="N87" s="23" t="str">
        <f>_xlfn.XLOOKUP($E87,parent_events!$B$2:$B$56,parent_events!$K$2:$K$56,"NA")</f>
        <v>decimalMinute</v>
      </c>
      <c r="P87" t="str">
        <f>_xlfn.XLOOKUP($E87,parent_events!$B$2:$B$56,parent_events!$L$2:$L$56,"NA")</f>
        <v>Storvatnet_st1</v>
      </c>
      <c r="Q87" t="str">
        <f>_xlfn.XLOOKUP($P87,localities!$B$2:$B$49,localities!$C$2:$C$49,"NA")</f>
        <v>Storvatnet</v>
      </c>
      <c r="R87">
        <f>_xlfn.XLOOKUP($P87,localities!$B$2:$B$49,localities!$D$2:$D$49,"NA")</f>
        <v>1</v>
      </c>
      <c r="S87">
        <f>_xlfn.XLOOKUP($P87,localities!$B$2:$B$49,localities!$E$2:$E$49,"NA")</f>
        <v>63.621177600000003</v>
      </c>
      <c r="T87">
        <f>_xlfn.XLOOKUP($P87,localities!$B$2:$B$49,localities!$F$2:$F$49,"NA")</f>
        <v>10.2333759</v>
      </c>
      <c r="U87" t="str">
        <f>_xlfn.XLOOKUP($P87,localities!$B$2:$B$49,localities!$G$2:$G$49,"NA")</f>
        <v>WGS84</v>
      </c>
      <c r="V87">
        <f>_xlfn.XLOOKUP($P87,localities!$B$2:$B$49,localities!$H$2:$H$49,"NA")</f>
        <v>5</v>
      </c>
      <c r="W87" t="str">
        <f>_xlfn.XLOOKUP($P87,localities!$B$2:$B$49,localities!$I$2:$I$49,"NA")</f>
        <v>NOR</v>
      </c>
      <c r="X87" t="str">
        <f>_xlfn.XLOOKUP($P87,localities!$B$2:$B$49,localities!$J$2:$J$49,"NA")</f>
        <v>Norway</v>
      </c>
      <c r="Y87" t="str">
        <f>_xlfn.XLOOKUP($P87,localities!$B$2:$B$49,localities!$K$2:$K$49,"NA")</f>
        <v>Nord-Trøndelag</v>
      </c>
      <c r="Z87" t="str">
        <f>_xlfn.XLOOKUP($P87,localities!$B$2:$B$49,localities!$L$2:$L$49,"NA")</f>
        <v>Indre Fosen</v>
      </c>
    </row>
    <row r="88" spans="2:26" x14ac:dyDescent="0.3">
      <c r="B88" t="s">
        <v>154</v>
      </c>
      <c r="C88" s="23">
        <v>1</v>
      </c>
      <c r="E88" t="s">
        <v>55</v>
      </c>
      <c r="F88" s="19">
        <f>_xlfn.XLOOKUP($E88,parent_events!$B$2:$B$56,parent_events!$C$2:$C$56,"NA")</f>
        <v>45097</v>
      </c>
      <c r="G88">
        <f>_xlfn.XLOOKUP($E88,parent_events!$B$2:$B$56,parent_events!$D$2:$D$56,"NA")</f>
        <v>2023</v>
      </c>
      <c r="H88">
        <f>_xlfn.XLOOKUP($E88,parent_events!$B$2:$B$56,parent_events!$E$2:$E$56,"NA")</f>
        <v>6</v>
      </c>
      <c r="I88">
        <f>_xlfn.XLOOKUP($E88,parent_events!$B$2:$B$56,parent_events!$F$2:$F$56,"NA")</f>
        <v>20</v>
      </c>
      <c r="J88">
        <f>_xlfn.XLOOKUP($E88,parent_events!$B$2:$B$56,parent_events!$G$2:$G$56,"NA")</f>
        <v>4</v>
      </c>
      <c r="K88" t="str">
        <f>_xlfn.XLOOKUP($E88,parent_events!$B$2:$B$56,parent_events!$H$2:$H$56,"NA")</f>
        <v>Rot (1 min)</v>
      </c>
      <c r="L88" t="str">
        <f>_xlfn.XLOOKUP($E88,parent_events!$B$2:$B$56,parent_events!$I$2:$I$56,"NA")</f>
        <v>"5 replicates of 1 minute kick samples"</v>
      </c>
      <c r="M88">
        <f>_xlfn.XLOOKUP($E88,parent_events!$B$2:$B$56,parent_events!$J$2:$J$56,"NA")</f>
        <v>1</v>
      </c>
      <c r="N88" s="23" t="str">
        <f>_xlfn.XLOOKUP($E88,parent_events!$B$2:$B$56,parent_events!$K$2:$K$56,"NA")</f>
        <v>decimalMinute</v>
      </c>
      <c r="P88" t="str">
        <f>_xlfn.XLOOKUP($E88,parent_events!$B$2:$B$56,parent_events!$L$2:$L$56,"NA")</f>
        <v>Stor-Drakstsjoen_st1</v>
      </c>
      <c r="Q88" t="str">
        <f>_xlfn.XLOOKUP($P88,localities!$B$2:$B$49,localities!$C$2:$C$49,"NA")</f>
        <v>Stor-Drakstsjøen</v>
      </c>
      <c r="R88">
        <f>_xlfn.XLOOKUP($P88,localities!$B$2:$B$49,localities!$D$2:$D$49,"NA")</f>
        <v>1</v>
      </c>
      <c r="S88">
        <f>_xlfn.XLOOKUP($P88,localities!$B$2:$B$49,localities!$E$2:$E$49,"NA")</f>
        <v>63.286461099999997</v>
      </c>
      <c r="T88">
        <f>_xlfn.XLOOKUP($P88,localities!$B$2:$B$49,localities!$F$2:$F$49,"NA")</f>
        <v>10.802471300000001</v>
      </c>
      <c r="U88" t="str">
        <f>_xlfn.XLOOKUP($P88,localities!$B$2:$B$49,localities!$G$2:$G$49,"NA")</f>
        <v>WGS84</v>
      </c>
      <c r="V88">
        <f>_xlfn.XLOOKUP($P88,localities!$B$2:$B$49,localities!$H$2:$H$49,"NA")</f>
        <v>5</v>
      </c>
      <c r="W88" t="str">
        <f>_xlfn.XLOOKUP($P88,localities!$B$2:$B$49,localities!$I$2:$I$49,"NA")</f>
        <v>NOR</v>
      </c>
      <c r="X88" t="str">
        <f>_xlfn.XLOOKUP($P88,localities!$B$2:$B$49,localities!$J$2:$J$49,"NA")</f>
        <v>Norway</v>
      </c>
      <c r="Y88" t="str">
        <f>_xlfn.XLOOKUP($P88,localities!$B$2:$B$49,localities!$K$2:$K$49,"NA")</f>
        <v>Sør-Trøndelag</v>
      </c>
      <c r="Z88" t="str">
        <f>_xlfn.XLOOKUP($P88,localities!$B$2:$B$49,localities!$L$2:$L$49,"NA")</f>
        <v>Selbu</v>
      </c>
    </row>
    <row r="89" spans="2:26" x14ac:dyDescent="0.3">
      <c r="B89" t="s">
        <v>155</v>
      </c>
      <c r="C89" s="23">
        <v>2</v>
      </c>
      <c r="E89" t="s">
        <v>55</v>
      </c>
      <c r="F89" s="19">
        <f>_xlfn.XLOOKUP($E89,parent_events!$B$2:$B$56,parent_events!$C$2:$C$56,"NA")</f>
        <v>45097</v>
      </c>
      <c r="G89">
        <f>_xlfn.XLOOKUP($E89,parent_events!$B$2:$B$56,parent_events!$D$2:$D$56,"NA")</f>
        <v>2023</v>
      </c>
      <c r="H89">
        <f>_xlfn.XLOOKUP($E89,parent_events!$B$2:$B$56,parent_events!$E$2:$E$56,"NA")</f>
        <v>6</v>
      </c>
      <c r="I89">
        <f>_xlfn.XLOOKUP($E89,parent_events!$B$2:$B$56,parent_events!$F$2:$F$56,"NA")</f>
        <v>20</v>
      </c>
      <c r="J89">
        <f>_xlfn.XLOOKUP($E89,parent_events!$B$2:$B$56,parent_events!$G$2:$G$56,"NA")</f>
        <v>4</v>
      </c>
      <c r="K89" t="str">
        <f>_xlfn.XLOOKUP($E89,parent_events!$B$2:$B$56,parent_events!$H$2:$H$56,"NA")</f>
        <v>Rot (1 min)</v>
      </c>
      <c r="L89" t="str">
        <f>_xlfn.XLOOKUP($E89,parent_events!$B$2:$B$56,parent_events!$I$2:$I$56,"NA")</f>
        <v>"5 replicates of 1 minute kick samples"</v>
      </c>
      <c r="M89">
        <f>_xlfn.XLOOKUP($E89,parent_events!$B$2:$B$56,parent_events!$J$2:$J$56,"NA")</f>
        <v>1</v>
      </c>
      <c r="N89" s="23" t="str">
        <f>_xlfn.XLOOKUP($E89,parent_events!$B$2:$B$56,parent_events!$K$2:$K$56,"NA")</f>
        <v>decimalMinute</v>
      </c>
      <c r="P89" t="str">
        <f>_xlfn.XLOOKUP($E89,parent_events!$B$2:$B$56,parent_events!$L$2:$L$56,"NA")</f>
        <v>Stor-Drakstsjoen_st1</v>
      </c>
      <c r="Q89" t="str">
        <f>_xlfn.XLOOKUP($P89,localities!$B$2:$B$49,localities!$C$2:$C$49,"NA")</f>
        <v>Stor-Drakstsjøen</v>
      </c>
      <c r="R89">
        <f>_xlfn.XLOOKUP($P89,localities!$B$2:$B$49,localities!$D$2:$D$49,"NA")</f>
        <v>1</v>
      </c>
      <c r="S89">
        <f>_xlfn.XLOOKUP($P89,localities!$B$2:$B$49,localities!$E$2:$E$49,"NA")</f>
        <v>63.286461099999997</v>
      </c>
      <c r="T89">
        <f>_xlfn.XLOOKUP($P89,localities!$B$2:$B$49,localities!$F$2:$F$49,"NA")</f>
        <v>10.802471300000001</v>
      </c>
      <c r="U89" t="str">
        <f>_xlfn.XLOOKUP($P89,localities!$B$2:$B$49,localities!$G$2:$G$49,"NA")</f>
        <v>WGS84</v>
      </c>
      <c r="V89">
        <f>_xlfn.XLOOKUP($P89,localities!$B$2:$B$49,localities!$H$2:$H$49,"NA")</f>
        <v>5</v>
      </c>
      <c r="W89" t="str">
        <f>_xlfn.XLOOKUP($P89,localities!$B$2:$B$49,localities!$I$2:$I$49,"NA")</f>
        <v>NOR</v>
      </c>
      <c r="X89" t="str">
        <f>_xlfn.XLOOKUP($P89,localities!$B$2:$B$49,localities!$J$2:$J$49,"NA")</f>
        <v>Norway</v>
      </c>
      <c r="Y89" t="str">
        <f>_xlfn.XLOOKUP($P89,localities!$B$2:$B$49,localities!$K$2:$K$49,"NA")</f>
        <v>Sør-Trøndelag</v>
      </c>
      <c r="Z89" t="str">
        <f>_xlfn.XLOOKUP($P89,localities!$B$2:$B$49,localities!$L$2:$L$49,"NA")</f>
        <v>Selbu</v>
      </c>
    </row>
    <row r="90" spans="2:26" x14ac:dyDescent="0.3">
      <c r="B90" t="s">
        <v>156</v>
      </c>
      <c r="C90" s="23">
        <v>3</v>
      </c>
      <c r="E90" t="s">
        <v>55</v>
      </c>
      <c r="F90" s="19">
        <f>_xlfn.XLOOKUP($E90,parent_events!$B$2:$B$56,parent_events!$C$2:$C$56,"NA")</f>
        <v>45097</v>
      </c>
      <c r="G90">
        <f>_xlfn.XLOOKUP($E90,parent_events!$B$2:$B$56,parent_events!$D$2:$D$56,"NA")</f>
        <v>2023</v>
      </c>
      <c r="H90">
        <f>_xlfn.XLOOKUP($E90,parent_events!$B$2:$B$56,parent_events!$E$2:$E$56,"NA")</f>
        <v>6</v>
      </c>
      <c r="I90">
        <f>_xlfn.XLOOKUP($E90,parent_events!$B$2:$B$56,parent_events!$F$2:$F$56,"NA")</f>
        <v>20</v>
      </c>
      <c r="J90">
        <f>_xlfn.XLOOKUP($E90,parent_events!$B$2:$B$56,parent_events!$G$2:$G$56,"NA")</f>
        <v>4</v>
      </c>
      <c r="K90" t="str">
        <f>_xlfn.XLOOKUP($E90,parent_events!$B$2:$B$56,parent_events!$H$2:$H$56,"NA")</f>
        <v>Rot (1 min)</v>
      </c>
      <c r="L90" t="str">
        <f>_xlfn.XLOOKUP($E90,parent_events!$B$2:$B$56,parent_events!$I$2:$I$56,"NA")</f>
        <v>"5 replicates of 1 minute kick samples"</v>
      </c>
      <c r="M90">
        <f>_xlfn.XLOOKUP($E90,parent_events!$B$2:$B$56,parent_events!$J$2:$J$56,"NA")</f>
        <v>1</v>
      </c>
      <c r="N90" s="23" t="str">
        <f>_xlfn.XLOOKUP($E90,parent_events!$B$2:$B$56,parent_events!$K$2:$K$56,"NA")</f>
        <v>decimalMinute</v>
      </c>
      <c r="P90" t="str">
        <f>_xlfn.XLOOKUP($E90,parent_events!$B$2:$B$56,parent_events!$L$2:$L$56,"NA")</f>
        <v>Stor-Drakstsjoen_st1</v>
      </c>
      <c r="Q90" t="str">
        <f>_xlfn.XLOOKUP($P90,localities!$B$2:$B$49,localities!$C$2:$C$49,"NA")</f>
        <v>Stor-Drakstsjøen</v>
      </c>
      <c r="R90">
        <f>_xlfn.XLOOKUP($P90,localities!$B$2:$B$49,localities!$D$2:$D$49,"NA")</f>
        <v>1</v>
      </c>
      <c r="S90">
        <f>_xlfn.XLOOKUP($P90,localities!$B$2:$B$49,localities!$E$2:$E$49,"NA")</f>
        <v>63.286461099999997</v>
      </c>
      <c r="T90">
        <f>_xlfn.XLOOKUP($P90,localities!$B$2:$B$49,localities!$F$2:$F$49,"NA")</f>
        <v>10.802471300000001</v>
      </c>
      <c r="U90" t="str">
        <f>_xlfn.XLOOKUP($P90,localities!$B$2:$B$49,localities!$G$2:$G$49,"NA")</f>
        <v>WGS84</v>
      </c>
      <c r="V90">
        <f>_xlfn.XLOOKUP($P90,localities!$B$2:$B$49,localities!$H$2:$H$49,"NA")</f>
        <v>5</v>
      </c>
      <c r="W90" t="str">
        <f>_xlfn.XLOOKUP($P90,localities!$B$2:$B$49,localities!$I$2:$I$49,"NA")</f>
        <v>NOR</v>
      </c>
      <c r="X90" t="str">
        <f>_xlfn.XLOOKUP($P90,localities!$B$2:$B$49,localities!$J$2:$J$49,"NA")</f>
        <v>Norway</v>
      </c>
      <c r="Y90" t="str">
        <f>_xlfn.XLOOKUP($P90,localities!$B$2:$B$49,localities!$K$2:$K$49,"NA")</f>
        <v>Sør-Trøndelag</v>
      </c>
      <c r="Z90" t="str">
        <f>_xlfn.XLOOKUP($P90,localities!$B$2:$B$49,localities!$L$2:$L$49,"NA")</f>
        <v>Selbu</v>
      </c>
    </row>
    <row r="91" spans="2:26" x14ac:dyDescent="0.3">
      <c r="B91" t="s">
        <v>157</v>
      </c>
      <c r="C91" s="23">
        <v>4</v>
      </c>
      <c r="E91" t="s">
        <v>55</v>
      </c>
      <c r="F91" s="19">
        <f>_xlfn.XLOOKUP($E91,parent_events!$B$2:$B$56,parent_events!$C$2:$C$56,"NA")</f>
        <v>45097</v>
      </c>
      <c r="G91">
        <f>_xlfn.XLOOKUP($E91,parent_events!$B$2:$B$56,parent_events!$D$2:$D$56,"NA")</f>
        <v>2023</v>
      </c>
      <c r="H91">
        <f>_xlfn.XLOOKUP($E91,parent_events!$B$2:$B$56,parent_events!$E$2:$E$56,"NA")</f>
        <v>6</v>
      </c>
      <c r="I91">
        <f>_xlfn.XLOOKUP($E91,parent_events!$B$2:$B$56,parent_events!$F$2:$F$56,"NA")</f>
        <v>20</v>
      </c>
      <c r="J91">
        <f>_xlfn.XLOOKUP($E91,parent_events!$B$2:$B$56,parent_events!$G$2:$G$56,"NA")</f>
        <v>4</v>
      </c>
      <c r="K91" t="str">
        <f>_xlfn.XLOOKUP($E91,parent_events!$B$2:$B$56,parent_events!$H$2:$H$56,"NA")</f>
        <v>Rot (1 min)</v>
      </c>
      <c r="L91" t="str">
        <f>_xlfn.XLOOKUP($E91,parent_events!$B$2:$B$56,parent_events!$I$2:$I$56,"NA")</f>
        <v>"5 replicates of 1 minute kick samples"</v>
      </c>
      <c r="M91">
        <f>_xlfn.XLOOKUP($E91,parent_events!$B$2:$B$56,parent_events!$J$2:$J$56,"NA")</f>
        <v>1</v>
      </c>
      <c r="N91" s="23" t="str">
        <f>_xlfn.XLOOKUP($E91,parent_events!$B$2:$B$56,parent_events!$K$2:$K$56,"NA")</f>
        <v>decimalMinute</v>
      </c>
      <c r="P91" t="str">
        <f>_xlfn.XLOOKUP($E91,parent_events!$B$2:$B$56,parent_events!$L$2:$L$56,"NA")</f>
        <v>Stor-Drakstsjoen_st1</v>
      </c>
      <c r="Q91" t="str">
        <f>_xlfn.XLOOKUP($P91,localities!$B$2:$B$49,localities!$C$2:$C$49,"NA")</f>
        <v>Stor-Drakstsjøen</v>
      </c>
      <c r="R91">
        <f>_xlfn.XLOOKUP($P91,localities!$B$2:$B$49,localities!$D$2:$D$49,"NA")</f>
        <v>1</v>
      </c>
      <c r="S91">
        <f>_xlfn.XLOOKUP($P91,localities!$B$2:$B$49,localities!$E$2:$E$49,"NA")</f>
        <v>63.286461099999997</v>
      </c>
      <c r="T91">
        <f>_xlfn.XLOOKUP($P91,localities!$B$2:$B$49,localities!$F$2:$F$49,"NA")</f>
        <v>10.802471300000001</v>
      </c>
      <c r="U91" t="str">
        <f>_xlfn.XLOOKUP($P91,localities!$B$2:$B$49,localities!$G$2:$G$49,"NA")</f>
        <v>WGS84</v>
      </c>
      <c r="V91">
        <f>_xlfn.XLOOKUP($P91,localities!$B$2:$B$49,localities!$H$2:$H$49,"NA")</f>
        <v>5</v>
      </c>
      <c r="W91" t="str">
        <f>_xlfn.XLOOKUP($P91,localities!$B$2:$B$49,localities!$I$2:$I$49,"NA")</f>
        <v>NOR</v>
      </c>
      <c r="X91" t="str">
        <f>_xlfn.XLOOKUP($P91,localities!$B$2:$B$49,localities!$J$2:$J$49,"NA")</f>
        <v>Norway</v>
      </c>
      <c r="Y91" t="str">
        <f>_xlfn.XLOOKUP($P91,localities!$B$2:$B$49,localities!$K$2:$K$49,"NA")</f>
        <v>Sør-Trøndelag</v>
      </c>
      <c r="Z91" t="str">
        <f>_xlfn.XLOOKUP($P91,localities!$B$2:$B$49,localities!$L$2:$L$49,"NA")</f>
        <v>Selbu</v>
      </c>
    </row>
    <row r="92" spans="2:26" x14ac:dyDescent="0.3">
      <c r="B92" t="s">
        <v>158</v>
      </c>
      <c r="C92" s="23">
        <v>5</v>
      </c>
      <c r="E92" t="s">
        <v>55</v>
      </c>
      <c r="F92" s="19">
        <f>_xlfn.XLOOKUP($E92,parent_events!$B$2:$B$56,parent_events!$C$2:$C$56,"NA")</f>
        <v>45097</v>
      </c>
      <c r="G92">
        <f>_xlfn.XLOOKUP($E92,parent_events!$B$2:$B$56,parent_events!$D$2:$D$56,"NA")</f>
        <v>2023</v>
      </c>
      <c r="H92">
        <f>_xlfn.XLOOKUP($E92,parent_events!$B$2:$B$56,parent_events!$E$2:$E$56,"NA")</f>
        <v>6</v>
      </c>
      <c r="I92">
        <f>_xlfn.XLOOKUP($E92,parent_events!$B$2:$B$56,parent_events!$F$2:$F$56,"NA")</f>
        <v>20</v>
      </c>
      <c r="J92">
        <f>_xlfn.XLOOKUP($E92,parent_events!$B$2:$B$56,parent_events!$G$2:$G$56,"NA")</f>
        <v>4</v>
      </c>
      <c r="K92" t="str">
        <f>_xlfn.XLOOKUP($E92,parent_events!$B$2:$B$56,parent_events!$H$2:$H$56,"NA")</f>
        <v>Rot (1 min)</v>
      </c>
      <c r="L92" t="str">
        <f>_xlfn.XLOOKUP($E92,parent_events!$B$2:$B$56,parent_events!$I$2:$I$56,"NA")</f>
        <v>"5 replicates of 1 minute kick samples"</v>
      </c>
      <c r="M92">
        <f>_xlfn.XLOOKUP($E92,parent_events!$B$2:$B$56,parent_events!$J$2:$J$56,"NA")</f>
        <v>1</v>
      </c>
      <c r="N92" s="23" t="str">
        <f>_xlfn.XLOOKUP($E92,parent_events!$B$2:$B$56,parent_events!$K$2:$K$56,"NA")</f>
        <v>decimalMinute</v>
      </c>
      <c r="P92" t="str">
        <f>_xlfn.XLOOKUP($E92,parent_events!$B$2:$B$56,parent_events!$L$2:$L$56,"NA")</f>
        <v>Stor-Drakstsjoen_st1</v>
      </c>
      <c r="Q92" t="str">
        <f>_xlfn.XLOOKUP($P92,localities!$B$2:$B$49,localities!$C$2:$C$49,"NA")</f>
        <v>Stor-Drakstsjøen</v>
      </c>
      <c r="R92">
        <f>_xlfn.XLOOKUP($P92,localities!$B$2:$B$49,localities!$D$2:$D$49,"NA")</f>
        <v>1</v>
      </c>
      <c r="S92">
        <f>_xlfn.XLOOKUP($P92,localities!$B$2:$B$49,localities!$E$2:$E$49,"NA")</f>
        <v>63.286461099999997</v>
      </c>
      <c r="T92">
        <f>_xlfn.XLOOKUP($P92,localities!$B$2:$B$49,localities!$F$2:$F$49,"NA")</f>
        <v>10.802471300000001</v>
      </c>
      <c r="U92" t="str">
        <f>_xlfn.XLOOKUP($P92,localities!$B$2:$B$49,localities!$G$2:$G$49,"NA")</f>
        <v>WGS84</v>
      </c>
      <c r="V92">
        <f>_xlfn.XLOOKUP($P92,localities!$B$2:$B$49,localities!$H$2:$H$49,"NA")</f>
        <v>5</v>
      </c>
      <c r="W92" t="str">
        <f>_xlfn.XLOOKUP($P92,localities!$B$2:$B$49,localities!$I$2:$I$49,"NA")</f>
        <v>NOR</v>
      </c>
      <c r="X92" t="str">
        <f>_xlfn.XLOOKUP($P92,localities!$B$2:$B$49,localities!$J$2:$J$49,"NA")</f>
        <v>Norway</v>
      </c>
      <c r="Y92" t="str">
        <f>_xlfn.XLOOKUP($P92,localities!$B$2:$B$49,localities!$K$2:$K$49,"NA")</f>
        <v>Sør-Trøndelag</v>
      </c>
      <c r="Z92" t="str">
        <f>_xlfn.XLOOKUP($P92,localities!$B$2:$B$49,localities!$L$2:$L$49,"NA")</f>
        <v>Selbu</v>
      </c>
    </row>
    <row r="93" spans="2:26" x14ac:dyDescent="0.3">
      <c r="B93" t="s">
        <v>159</v>
      </c>
      <c r="C93" s="23">
        <v>1</v>
      </c>
      <c r="E93" t="s">
        <v>56</v>
      </c>
      <c r="F93" s="19">
        <f>_xlfn.XLOOKUP($E93,parent_events!$B$2:$B$56,parent_events!$C$2:$C$56,"NA")</f>
        <v>45097</v>
      </c>
      <c r="G93">
        <f>_xlfn.XLOOKUP($E93,parent_events!$B$2:$B$56,parent_events!$D$2:$D$56,"NA")</f>
        <v>2023</v>
      </c>
      <c r="H93">
        <f>_xlfn.XLOOKUP($E93,parent_events!$B$2:$B$56,parent_events!$E$2:$E$56,"NA")</f>
        <v>6</v>
      </c>
      <c r="I93">
        <f>_xlfn.XLOOKUP($E93,parent_events!$B$2:$B$56,parent_events!$F$2:$F$56,"NA")</f>
        <v>20</v>
      </c>
      <c r="J93">
        <f>_xlfn.XLOOKUP($E93,parent_events!$B$2:$B$56,parent_events!$G$2:$G$56,"NA")</f>
        <v>4</v>
      </c>
      <c r="K93" t="str">
        <f>_xlfn.XLOOKUP($E93,parent_events!$B$2:$B$56,parent_events!$H$2:$H$56,"NA")</f>
        <v>Rot (1 min)</v>
      </c>
      <c r="L93" t="str">
        <f>_xlfn.XLOOKUP($E93,parent_events!$B$2:$B$56,parent_events!$I$2:$I$56,"NA")</f>
        <v>"5 replicates of 1 minute kick samples"</v>
      </c>
      <c r="M93">
        <f>_xlfn.XLOOKUP($E93,parent_events!$B$2:$B$56,parent_events!$J$2:$J$56,"NA")</f>
        <v>1</v>
      </c>
      <c r="N93" s="23" t="str">
        <f>_xlfn.XLOOKUP($E93,parent_events!$B$2:$B$56,parent_events!$K$2:$K$56,"NA")</f>
        <v>decimalMinute</v>
      </c>
      <c r="P93" t="str">
        <f>_xlfn.XLOOKUP($E93,parent_events!$B$2:$B$56,parent_events!$L$2:$L$56,"NA")</f>
        <v>Kilvatnet_st1</v>
      </c>
      <c r="Q93" t="str">
        <f>_xlfn.XLOOKUP($P93,localities!$B$2:$B$49,localities!$C$2:$C$49,"NA")</f>
        <v>Kilvatnet</v>
      </c>
      <c r="R93">
        <f>_xlfn.XLOOKUP($P93,localities!$B$2:$B$49,localities!$D$2:$D$49,"NA")</f>
        <v>1</v>
      </c>
      <c r="S93">
        <f>_xlfn.XLOOKUP($P93,localities!$B$2:$B$49,localities!$E$2:$E$49,"NA")</f>
        <v>63.3447909</v>
      </c>
      <c r="T93">
        <f>_xlfn.XLOOKUP($P93,localities!$B$2:$B$49,localities!$F$2:$F$49,"NA")</f>
        <v>10.5500174</v>
      </c>
      <c r="U93" t="str">
        <f>_xlfn.XLOOKUP($P93,localities!$B$2:$B$49,localities!$G$2:$G$49,"NA")</f>
        <v>WGS84</v>
      </c>
      <c r="V93">
        <f>_xlfn.XLOOKUP($P93,localities!$B$2:$B$49,localities!$H$2:$H$49,"NA")</f>
        <v>5</v>
      </c>
      <c r="W93" t="str">
        <f>_xlfn.XLOOKUP($P93,localities!$B$2:$B$49,localities!$I$2:$I$49,"NA")</f>
        <v>NOR</v>
      </c>
      <c r="X93" t="str">
        <f>_xlfn.XLOOKUP($P93,localities!$B$2:$B$49,localities!$J$2:$J$49,"NA")</f>
        <v>Norway</v>
      </c>
      <c r="Y93" t="str">
        <f>_xlfn.XLOOKUP($P93,localities!$B$2:$B$49,localities!$K$2:$K$49,"NA")</f>
        <v>Sør-Trøndelag</v>
      </c>
      <c r="Z93" t="str">
        <f>_xlfn.XLOOKUP($P93,localities!$B$2:$B$49,localities!$L$2:$L$49,"NA")</f>
        <v>Trondheim</v>
      </c>
    </row>
    <row r="94" spans="2:26" x14ac:dyDescent="0.3">
      <c r="B94" t="s">
        <v>160</v>
      </c>
      <c r="C94" s="23">
        <v>2</v>
      </c>
      <c r="E94" t="s">
        <v>56</v>
      </c>
      <c r="F94" s="19">
        <f>_xlfn.XLOOKUP($E94,parent_events!$B$2:$B$56,parent_events!$C$2:$C$56,"NA")</f>
        <v>45097</v>
      </c>
      <c r="G94">
        <f>_xlfn.XLOOKUP($E94,parent_events!$B$2:$B$56,parent_events!$D$2:$D$56,"NA")</f>
        <v>2023</v>
      </c>
      <c r="H94">
        <f>_xlfn.XLOOKUP($E94,parent_events!$B$2:$B$56,parent_events!$E$2:$E$56,"NA")</f>
        <v>6</v>
      </c>
      <c r="I94">
        <f>_xlfn.XLOOKUP($E94,parent_events!$B$2:$B$56,parent_events!$F$2:$F$56,"NA")</f>
        <v>20</v>
      </c>
      <c r="J94">
        <f>_xlfn.XLOOKUP($E94,parent_events!$B$2:$B$56,parent_events!$G$2:$G$56,"NA")</f>
        <v>4</v>
      </c>
      <c r="K94" t="str">
        <f>_xlfn.XLOOKUP($E94,parent_events!$B$2:$B$56,parent_events!$H$2:$H$56,"NA")</f>
        <v>Rot (1 min)</v>
      </c>
      <c r="L94" t="str">
        <f>_xlfn.XLOOKUP($E94,parent_events!$B$2:$B$56,parent_events!$I$2:$I$56,"NA")</f>
        <v>"5 replicates of 1 minute kick samples"</v>
      </c>
      <c r="M94">
        <f>_xlfn.XLOOKUP($E94,parent_events!$B$2:$B$56,parent_events!$J$2:$J$56,"NA")</f>
        <v>1</v>
      </c>
      <c r="N94" s="23" t="str">
        <f>_xlfn.XLOOKUP($E94,parent_events!$B$2:$B$56,parent_events!$K$2:$K$56,"NA")</f>
        <v>decimalMinute</v>
      </c>
      <c r="P94" t="str">
        <f>_xlfn.XLOOKUP($E94,parent_events!$B$2:$B$56,parent_events!$L$2:$L$56,"NA")</f>
        <v>Kilvatnet_st1</v>
      </c>
      <c r="Q94" t="str">
        <f>_xlfn.XLOOKUP($P94,localities!$B$2:$B$49,localities!$C$2:$C$49,"NA")</f>
        <v>Kilvatnet</v>
      </c>
      <c r="R94">
        <f>_xlfn.XLOOKUP($P94,localities!$B$2:$B$49,localities!$D$2:$D$49,"NA")</f>
        <v>1</v>
      </c>
      <c r="S94">
        <f>_xlfn.XLOOKUP($P94,localities!$B$2:$B$49,localities!$E$2:$E$49,"NA")</f>
        <v>63.3447909</v>
      </c>
      <c r="T94">
        <f>_xlfn.XLOOKUP($P94,localities!$B$2:$B$49,localities!$F$2:$F$49,"NA")</f>
        <v>10.5500174</v>
      </c>
      <c r="U94" t="str">
        <f>_xlfn.XLOOKUP($P94,localities!$B$2:$B$49,localities!$G$2:$G$49,"NA")</f>
        <v>WGS84</v>
      </c>
      <c r="V94">
        <f>_xlfn.XLOOKUP($P94,localities!$B$2:$B$49,localities!$H$2:$H$49,"NA")</f>
        <v>5</v>
      </c>
      <c r="W94" t="str">
        <f>_xlfn.XLOOKUP($P94,localities!$B$2:$B$49,localities!$I$2:$I$49,"NA")</f>
        <v>NOR</v>
      </c>
      <c r="X94" t="str">
        <f>_xlfn.XLOOKUP($P94,localities!$B$2:$B$49,localities!$J$2:$J$49,"NA")</f>
        <v>Norway</v>
      </c>
      <c r="Y94" t="str">
        <f>_xlfn.XLOOKUP($P94,localities!$B$2:$B$49,localities!$K$2:$K$49,"NA")</f>
        <v>Sør-Trøndelag</v>
      </c>
      <c r="Z94" t="str">
        <f>_xlfn.XLOOKUP($P94,localities!$B$2:$B$49,localities!$L$2:$L$49,"NA")</f>
        <v>Trondheim</v>
      </c>
    </row>
    <row r="95" spans="2:26" x14ac:dyDescent="0.3">
      <c r="B95" t="s">
        <v>161</v>
      </c>
      <c r="C95" s="23">
        <v>3</v>
      </c>
      <c r="E95" t="s">
        <v>56</v>
      </c>
      <c r="F95" s="19">
        <f>_xlfn.XLOOKUP($E95,parent_events!$B$2:$B$56,parent_events!$C$2:$C$56,"NA")</f>
        <v>45097</v>
      </c>
      <c r="G95">
        <f>_xlfn.XLOOKUP($E95,parent_events!$B$2:$B$56,parent_events!$D$2:$D$56,"NA")</f>
        <v>2023</v>
      </c>
      <c r="H95">
        <f>_xlfn.XLOOKUP($E95,parent_events!$B$2:$B$56,parent_events!$E$2:$E$56,"NA")</f>
        <v>6</v>
      </c>
      <c r="I95">
        <f>_xlfn.XLOOKUP($E95,parent_events!$B$2:$B$56,parent_events!$F$2:$F$56,"NA")</f>
        <v>20</v>
      </c>
      <c r="J95">
        <f>_xlfn.XLOOKUP($E95,parent_events!$B$2:$B$56,parent_events!$G$2:$G$56,"NA")</f>
        <v>4</v>
      </c>
      <c r="K95" t="str">
        <f>_xlfn.XLOOKUP($E95,parent_events!$B$2:$B$56,parent_events!$H$2:$H$56,"NA")</f>
        <v>Rot (1 min)</v>
      </c>
      <c r="L95" t="str">
        <f>_xlfn.XLOOKUP($E95,parent_events!$B$2:$B$56,parent_events!$I$2:$I$56,"NA")</f>
        <v>"5 replicates of 1 minute kick samples"</v>
      </c>
      <c r="M95">
        <f>_xlfn.XLOOKUP($E95,parent_events!$B$2:$B$56,parent_events!$J$2:$J$56,"NA")</f>
        <v>1</v>
      </c>
      <c r="N95" s="23" t="str">
        <f>_xlfn.XLOOKUP($E95,parent_events!$B$2:$B$56,parent_events!$K$2:$K$56,"NA")</f>
        <v>decimalMinute</v>
      </c>
      <c r="P95" t="str">
        <f>_xlfn.XLOOKUP($E95,parent_events!$B$2:$B$56,parent_events!$L$2:$L$56,"NA")</f>
        <v>Kilvatnet_st1</v>
      </c>
      <c r="Q95" t="str">
        <f>_xlfn.XLOOKUP($P95,localities!$B$2:$B$49,localities!$C$2:$C$49,"NA")</f>
        <v>Kilvatnet</v>
      </c>
      <c r="R95">
        <f>_xlfn.XLOOKUP($P95,localities!$B$2:$B$49,localities!$D$2:$D$49,"NA")</f>
        <v>1</v>
      </c>
      <c r="S95">
        <f>_xlfn.XLOOKUP($P95,localities!$B$2:$B$49,localities!$E$2:$E$49,"NA")</f>
        <v>63.3447909</v>
      </c>
      <c r="T95">
        <f>_xlfn.XLOOKUP($P95,localities!$B$2:$B$49,localities!$F$2:$F$49,"NA")</f>
        <v>10.5500174</v>
      </c>
      <c r="U95" t="str">
        <f>_xlfn.XLOOKUP($P95,localities!$B$2:$B$49,localities!$G$2:$G$49,"NA")</f>
        <v>WGS84</v>
      </c>
      <c r="V95">
        <f>_xlfn.XLOOKUP($P95,localities!$B$2:$B$49,localities!$H$2:$H$49,"NA")</f>
        <v>5</v>
      </c>
      <c r="W95" t="str">
        <f>_xlfn.XLOOKUP($P95,localities!$B$2:$B$49,localities!$I$2:$I$49,"NA")</f>
        <v>NOR</v>
      </c>
      <c r="X95" t="str">
        <f>_xlfn.XLOOKUP($P95,localities!$B$2:$B$49,localities!$J$2:$J$49,"NA")</f>
        <v>Norway</v>
      </c>
      <c r="Y95" t="str">
        <f>_xlfn.XLOOKUP($P95,localities!$B$2:$B$49,localities!$K$2:$K$49,"NA")</f>
        <v>Sør-Trøndelag</v>
      </c>
      <c r="Z95" t="str">
        <f>_xlfn.XLOOKUP($P95,localities!$B$2:$B$49,localities!$L$2:$L$49,"NA")</f>
        <v>Trondheim</v>
      </c>
    </row>
    <row r="96" spans="2:26" x14ac:dyDescent="0.3">
      <c r="B96" t="s">
        <v>162</v>
      </c>
      <c r="C96" s="23">
        <v>4</v>
      </c>
      <c r="E96" t="s">
        <v>56</v>
      </c>
      <c r="F96" s="19">
        <f>_xlfn.XLOOKUP($E96,parent_events!$B$2:$B$56,parent_events!$C$2:$C$56,"NA")</f>
        <v>45097</v>
      </c>
      <c r="G96">
        <f>_xlfn.XLOOKUP($E96,parent_events!$B$2:$B$56,parent_events!$D$2:$D$56,"NA")</f>
        <v>2023</v>
      </c>
      <c r="H96">
        <f>_xlfn.XLOOKUP($E96,parent_events!$B$2:$B$56,parent_events!$E$2:$E$56,"NA")</f>
        <v>6</v>
      </c>
      <c r="I96">
        <f>_xlfn.XLOOKUP($E96,parent_events!$B$2:$B$56,parent_events!$F$2:$F$56,"NA")</f>
        <v>20</v>
      </c>
      <c r="J96">
        <f>_xlfn.XLOOKUP($E96,parent_events!$B$2:$B$56,parent_events!$G$2:$G$56,"NA")</f>
        <v>4</v>
      </c>
      <c r="K96" t="str">
        <f>_xlfn.XLOOKUP($E96,parent_events!$B$2:$B$56,parent_events!$H$2:$H$56,"NA")</f>
        <v>Rot (1 min)</v>
      </c>
      <c r="L96" t="str">
        <f>_xlfn.XLOOKUP($E96,parent_events!$B$2:$B$56,parent_events!$I$2:$I$56,"NA")</f>
        <v>"5 replicates of 1 minute kick samples"</v>
      </c>
      <c r="M96">
        <f>_xlfn.XLOOKUP($E96,parent_events!$B$2:$B$56,parent_events!$J$2:$J$56,"NA")</f>
        <v>1</v>
      </c>
      <c r="N96" s="23" t="str">
        <f>_xlfn.XLOOKUP($E96,parent_events!$B$2:$B$56,parent_events!$K$2:$K$56,"NA")</f>
        <v>decimalMinute</v>
      </c>
      <c r="P96" t="str">
        <f>_xlfn.XLOOKUP($E96,parent_events!$B$2:$B$56,parent_events!$L$2:$L$56,"NA")</f>
        <v>Kilvatnet_st1</v>
      </c>
      <c r="Q96" t="str">
        <f>_xlfn.XLOOKUP($P96,localities!$B$2:$B$49,localities!$C$2:$C$49,"NA")</f>
        <v>Kilvatnet</v>
      </c>
      <c r="R96">
        <f>_xlfn.XLOOKUP($P96,localities!$B$2:$B$49,localities!$D$2:$D$49,"NA")</f>
        <v>1</v>
      </c>
      <c r="S96">
        <f>_xlfn.XLOOKUP($P96,localities!$B$2:$B$49,localities!$E$2:$E$49,"NA")</f>
        <v>63.3447909</v>
      </c>
      <c r="T96">
        <f>_xlfn.XLOOKUP($P96,localities!$B$2:$B$49,localities!$F$2:$F$49,"NA")</f>
        <v>10.5500174</v>
      </c>
      <c r="U96" t="str">
        <f>_xlfn.XLOOKUP($P96,localities!$B$2:$B$49,localities!$G$2:$G$49,"NA")</f>
        <v>WGS84</v>
      </c>
      <c r="V96">
        <f>_xlfn.XLOOKUP($P96,localities!$B$2:$B$49,localities!$H$2:$H$49,"NA")</f>
        <v>5</v>
      </c>
      <c r="W96" t="str">
        <f>_xlfn.XLOOKUP($P96,localities!$B$2:$B$49,localities!$I$2:$I$49,"NA")</f>
        <v>NOR</v>
      </c>
      <c r="X96" t="str">
        <f>_xlfn.XLOOKUP($P96,localities!$B$2:$B$49,localities!$J$2:$J$49,"NA")</f>
        <v>Norway</v>
      </c>
      <c r="Y96" t="str">
        <f>_xlfn.XLOOKUP($P96,localities!$B$2:$B$49,localities!$K$2:$K$49,"NA")</f>
        <v>Sør-Trøndelag</v>
      </c>
      <c r="Z96" t="str">
        <f>_xlfn.XLOOKUP($P96,localities!$B$2:$B$49,localities!$L$2:$L$49,"NA")</f>
        <v>Trondheim</v>
      </c>
    </row>
    <row r="97" spans="2:26" x14ac:dyDescent="0.3">
      <c r="B97" t="s">
        <v>163</v>
      </c>
      <c r="C97" s="23">
        <v>5</v>
      </c>
      <c r="E97" t="s">
        <v>56</v>
      </c>
      <c r="F97" s="19">
        <f>_xlfn.XLOOKUP($E97,parent_events!$B$2:$B$56,parent_events!$C$2:$C$56,"NA")</f>
        <v>45097</v>
      </c>
      <c r="G97">
        <f>_xlfn.XLOOKUP($E97,parent_events!$B$2:$B$56,parent_events!$D$2:$D$56,"NA")</f>
        <v>2023</v>
      </c>
      <c r="H97">
        <f>_xlfn.XLOOKUP($E97,parent_events!$B$2:$B$56,parent_events!$E$2:$E$56,"NA")</f>
        <v>6</v>
      </c>
      <c r="I97">
        <f>_xlfn.XLOOKUP($E97,parent_events!$B$2:$B$56,parent_events!$F$2:$F$56,"NA")</f>
        <v>20</v>
      </c>
      <c r="J97">
        <f>_xlfn.XLOOKUP($E97,parent_events!$B$2:$B$56,parent_events!$G$2:$G$56,"NA")</f>
        <v>4</v>
      </c>
      <c r="K97" t="str">
        <f>_xlfn.XLOOKUP($E97,parent_events!$B$2:$B$56,parent_events!$H$2:$H$56,"NA")</f>
        <v>Rot (1 min)</v>
      </c>
      <c r="L97" t="str">
        <f>_xlfn.XLOOKUP($E97,parent_events!$B$2:$B$56,parent_events!$I$2:$I$56,"NA")</f>
        <v>"5 replicates of 1 minute kick samples"</v>
      </c>
      <c r="M97">
        <f>_xlfn.XLOOKUP($E97,parent_events!$B$2:$B$56,parent_events!$J$2:$J$56,"NA")</f>
        <v>1</v>
      </c>
      <c r="N97" s="23" t="str">
        <f>_xlfn.XLOOKUP($E97,parent_events!$B$2:$B$56,parent_events!$K$2:$K$56,"NA")</f>
        <v>decimalMinute</v>
      </c>
      <c r="P97" t="str">
        <f>_xlfn.XLOOKUP($E97,parent_events!$B$2:$B$56,parent_events!$L$2:$L$56,"NA")</f>
        <v>Kilvatnet_st1</v>
      </c>
      <c r="Q97" t="str">
        <f>_xlfn.XLOOKUP($P97,localities!$B$2:$B$49,localities!$C$2:$C$49,"NA")</f>
        <v>Kilvatnet</v>
      </c>
      <c r="R97">
        <f>_xlfn.XLOOKUP($P97,localities!$B$2:$B$49,localities!$D$2:$D$49,"NA")</f>
        <v>1</v>
      </c>
      <c r="S97">
        <f>_xlfn.XLOOKUP($P97,localities!$B$2:$B$49,localities!$E$2:$E$49,"NA")</f>
        <v>63.3447909</v>
      </c>
      <c r="T97">
        <f>_xlfn.XLOOKUP($P97,localities!$B$2:$B$49,localities!$F$2:$F$49,"NA")</f>
        <v>10.5500174</v>
      </c>
      <c r="U97" t="str">
        <f>_xlfn.XLOOKUP($P97,localities!$B$2:$B$49,localities!$G$2:$G$49,"NA")</f>
        <v>WGS84</v>
      </c>
      <c r="V97">
        <f>_xlfn.XLOOKUP($P97,localities!$B$2:$B$49,localities!$H$2:$H$49,"NA")</f>
        <v>5</v>
      </c>
      <c r="W97" t="str">
        <f>_xlfn.XLOOKUP($P97,localities!$B$2:$B$49,localities!$I$2:$I$49,"NA")</f>
        <v>NOR</v>
      </c>
      <c r="X97" t="str">
        <f>_xlfn.XLOOKUP($P97,localities!$B$2:$B$49,localities!$J$2:$J$49,"NA")</f>
        <v>Norway</v>
      </c>
      <c r="Y97" t="str">
        <f>_xlfn.XLOOKUP($P97,localities!$B$2:$B$49,localities!$K$2:$K$49,"NA")</f>
        <v>Sør-Trøndelag</v>
      </c>
      <c r="Z97" t="str">
        <f>_xlfn.XLOOKUP($P97,localities!$B$2:$B$49,localities!$L$2:$L$49,"NA")</f>
        <v>Trondheim</v>
      </c>
    </row>
    <row r="98" spans="2:26" x14ac:dyDescent="0.3">
      <c r="B98" t="s">
        <v>164</v>
      </c>
      <c r="C98" s="23">
        <v>1</v>
      </c>
      <c r="E98" t="s">
        <v>57</v>
      </c>
      <c r="F98" s="19">
        <f>_xlfn.XLOOKUP($E98,parent_events!$B$2:$B$56,parent_events!$C$2:$C$56,"NA")</f>
        <v>45098</v>
      </c>
      <c r="G98">
        <f>_xlfn.XLOOKUP($E98,parent_events!$B$2:$B$56,parent_events!$D$2:$D$56,"NA")</f>
        <v>2023</v>
      </c>
      <c r="H98">
        <f>_xlfn.XLOOKUP($E98,parent_events!$B$2:$B$56,parent_events!$E$2:$E$56,"NA")</f>
        <v>6</v>
      </c>
      <c r="I98">
        <f>_xlfn.XLOOKUP($E98,parent_events!$B$2:$B$56,parent_events!$F$2:$F$56,"NA")</f>
        <v>21</v>
      </c>
      <c r="J98">
        <f>_xlfn.XLOOKUP($E98,parent_events!$B$2:$B$56,parent_events!$G$2:$G$56,"NA")</f>
        <v>4</v>
      </c>
      <c r="K98" t="str">
        <f>_xlfn.XLOOKUP($E98,parent_events!$B$2:$B$56,parent_events!$H$2:$H$56,"NA")</f>
        <v>Rot (1 min)</v>
      </c>
      <c r="L98" t="str">
        <f>_xlfn.XLOOKUP($E98,parent_events!$B$2:$B$56,parent_events!$I$2:$I$56,"NA")</f>
        <v>"5 replicates of 1 minute kick samples"</v>
      </c>
      <c r="M98">
        <f>_xlfn.XLOOKUP($E98,parent_events!$B$2:$B$56,parent_events!$J$2:$J$56,"NA")</f>
        <v>1</v>
      </c>
      <c r="N98" s="23" t="str">
        <f>_xlfn.XLOOKUP($E98,parent_events!$B$2:$B$56,parent_events!$K$2:$K$56,"NA")</f>
        <v>decimalMinute</v>
      </c>
      <c r="P98" t="str">
        <f>_xlfn.XLOOKUP($E98,parent_events!$B$2:$B$56,parent_events!$L$2:$L$56,"NA")</f>
        <v>Storvatnet_st1</v>
      </c>
      <c r="Q98" t="str">
        <f>_xlfn.XLOOKUP($P98,localities!$B$2:$B$49,localities!$C$2:$C$49,"NA")</f>
        <v>Storvatnet</v>
      </c>
      <c r="R98">
        <f>_xlfn.XLOOKUP($P98,localities!$B$2:$B$49,localities!$D$2:$D$49,"NA")</f>
        <v>1</v>
      </c>
      <c r="S98">
        <f>_xlfn.XLOOKUP($P98,localities!$B$2:$B$49,localities!$E$2:$E$49,"NA")</f>
        <v>63.621177600000003</v>
      </c>
      <c r="T98">
        <f>_xlfn.XLOOKUP($P98,localities!$B$2:$B$49,localities!$F$2:$F$49,"NA")</f>
        <v>10.2333759</v>
      </c>
      <c r="U98" t="str">
        <f>_xlfn.XLOOKUP($P98,localities!$B$2:$B$49,localities!$G$2:$G$49,"NA")</f>
        <v>WGS84</v>
      </c>
      <c r="V98">
        <f>_xlfn.XLOOKUP($P98,localities!$B$2:$B$49,localities!$H$2:$H$49,"NA")</f>
        <v>5</v>
      </c>
      <c r="W98" t="str">
        <f>_xlfn.XLOOKUP($P98,localities!$B$2:$B$49,localities!$I$2:$I$49,"NA")</f>
        <v>NOR</v>
      </c>
      <c r="X98" t="str">
        <f>_xlfn.XLOOKUP($P98,localities!$B$2:$B$49,localities!$J$2:$J$49,"NA")</f>
        <v>Norway</v>
      </c>
      <c r="Y98" t="str">
        <f>_xlfn.XLOOKUP($P98,localities!$B$2:$B$49,localities!$K$2:$K$49,"NA")</f>
        <v>Nord-Trøndelag</v>
      </c>
      <c r="Z98" t="str">
        <f>_xlfn.XLOOKUP($P98,localities!$B$2:$B$49,localities!$L$2:$L$49,"NA")</f>
        <v>Indre Fosen</v>
      </c>
    </row>
    <row r="99" spans="2:26" x14ac:dyDescent="0.3">
      <c r="B99" t="s">
        <v>165</v>
      </c>
      <c r="C99" s="23">
        <v>2</v>
      </c>
      <c r="E99" t="s">
        <v>57</v>
      </c>
      <c r="F99" s="19">
        <f>_xlfn.XLOOKUP($E99,parent_events!$B$2:$B$56,parent_events!$C$2:$C$56,"NA")</f>
        <v>45098</v>
      </c>
      <c r="G99">
        <f>_xlfn.XLOOKUP($E99,parent_events!$B$2:$B$56,parent_events!$D$2:$D$56,"NA")</f>
        <v>2023</v>
      </c>
      <c r="H99">
        <f>_xlfn.XLOOKUP($E99,parent_events!$B$2:$B$56,parent_events!$E$2:$E$56,"NA")</f>
        <v>6</v>
      </c>
      <c r="I99">
        <f>_xlfn.XLOOKUP($E99,parent_events!$B$2:$B$56,parent_events!$F$2:$F$56,"NA")</f>
        <v>21</v>
      </c>
      <c r="J99">
        <f>_xlfn.XLOOKUP($E99,parent_events!$B$2:$B$56,parent_events!$G$2:$G$56,"NA")</f>
        <v>4</v>
      </c>
      <c r="K99" t="str">
        <f>_xlfn.XLOOKUP($E99,parent_events!$B$2:$B$56,parent_events!$H$2:$H$56,"NA")</f>
        <v>Rot (1 min)</v>
      </c>
      <c r="L99" t="str">
        <f>_xlfn.XLOOKUP($E99,parent_events!$B$2:$B$56,parent_events!$I$2:$I$56,"NA")</f>
        <v>"5 replicates of 1 minute kick samples"</v>
      </c>
      <c r="M99">
        <f>_xlfn.XLOOKUP($E99,parent_events!$B$2:$B$56,parent_events!$J$2:$J$56,"NA")</f>
        <v>1</v>
      </c>
      <c r="N99" s="23" t="str">
        <f>_xlfn.XLOOKUP($E99,parent_events!$B$2:$B$56,parent_events!$K$2:$K$56,"NA")</f>
        <v>decimalMinute</v>
      </c>
      <c r="P99" t="str">
        <f>_xlfn.XLOOKUP($E99,parent_events!$B$2:$B$56,parent_events!$L$2:$L$56,"NA")</f>
        <v>Storvatnet_st1</v>
      </c>
      <c r="Q99" t="str">
        <f>_xlfn.XLOOKUP($P99,localities!$B$2:$B$49,localities!$C$2:$C$49,"NA")</f>
        <v>Storvatnet</v>
      </c>
      <c r="R99">
        <f>_xlfn.XLOOKUP($P99,localities!$B$2:$B$49,localities!$D$2:$D$49,"NA")</f>
        <v>1</v>
      </c>
      <c r="S99">
        <f>_xlfn.XLOOKUP($P99,localities!$B$2:$B$49,localities!$E$2:$E$49,"NA")</f>
        <v>63.621177600000003</v>
      </c>
      <c r="T99">
        <f>_xlfn.XLOOKUP($P99,localities!$B$2:$B$49,localities!$F$2:$F$49,"NA")</f>
        <v>10.2333759</v>
      </c>
      <c r="U99" t="str">
        <f>_xlfn.XLOOKUP($P99,localities!$B$2:$B$49,localities!$G$2:$G$49,"NA")</f>
        <v>WGS84</v>
      </c>
      <c r="V99">
        <f>_xlfn.XLOOKUP($P99,localities!$B$2:$B$49,localities!$H$2:$H$49,"NA")</f>
        <v>5</v>
      </c>
      <c r="W99" t="str">
        <f>_xlfn.XLOOKUP($P99,localities!$B$2:$B$49,localities!$I$2:$I$49,"NA")</f>
        <v>NOR</v>
      </c>
      <c r="X99" t="str">
        <f>_xlfn.XLOOKUP($P99,localities!$B$2:$B$49,localities!$J$2:$J$49,"NA")</f>
        <v>Norway</v>
      </c>
      <c r="Y99" t="str">
        <f>_xlfn.XLOOKUP($P99,localities!$B$2:$B$49,localities!$K$2:$K$49,"NA")</f>
        <v>Nord-Trøndelag</v>
      </c>
      <c r="Z99" t="str">
        <f>_xlfn.XLOOKUP($P99,localities!$B$2:$B$49,localities!$L$2:$L$49,"NA")</f>
        <v>Indre Fosen</v>
      </c>
    </row>
    <row r="100" spans="2:26" x14ac:dyDescent="0.3">
      <c r="B100" t="s">
        <v>166</v>
      </c>
      <c r="C100" s="23">
        <v>3</v>
      </c>
      <c r="E100" t="s">
        <v>57</v>
      </c>
      <c r="F100" s="19">
        <f>_xlfn.XLOOKUP($E100,parent_events!$B$2:$B$56,parent_events!$C$2:$C$56,"NA")</f>
        <v>45098</v>
      </c>
      <c r="G100">
        <f>_xlfn.XLOOKUP($E100,parent_events!$B$2:$B$56,parent_events!$D$2:$D$56,"NA")</f>
        <v>2023</v>
      </c>
      <c r="H100">
        <f>_xlfn.XLOOKUP($E100,parent_events!$B$2:$B$56,parent_events!$E$2:$E$56,"NA")</f>
        <v>6</v>
      </c>
      <c r="I100">
        <f>_xlfn.XLOOKUP($E100,parent_events!$B$2:$B$56,parent_events!$F$2:$F$56,"NA")</f>
        <v>21</v>
      </c>
      <c r="J100">
        <f>_xlfn.XLOOKUP($E100,parent_events!$B$2:$B$56,parent_events!$G$2:$G$56,"NA")</f>
        <v>4</v>
      </c>
      <c r="K100" t="str">
        <f>_xlfn.XLOOKUP($E100,parent_events!$B$2:$B$56,parent_events!$H$2:$H$56,"NA")</f>
        <v>Rot (1 min)</v>
      </c>
      <c r="L100" t="str">
        <f>_xlfn.XLOOKUP($E100,parent_events!$B$2:$B$56,parent_events!$I$2:$I$56,"NA")</f>
        <v>"5 replicates of 1 minute kick samples"</v>
      </c>
      <c r="M100">
        <f>_xlfn.XLOOKUP($E100,parent_events!$B$2:$B$56,parent_events!$J$2:$J$56,"NA")</f>
        <v>1</v>
      </c>
      <c r="N100" s="23" t="str">
        <f>_xlfn.XLOOKUP($E100,parent_events!$B$2:$B$56,parent_events!$K$2:$K$56,"NA")</f>
        <v>decimalMinute</v>
      </c>
      <c r="P100" t="str">
        <f>_xlfn.XLOOKUP($E100,parent_events!$B$2:$B$56,parent_events!$L$2:$L$56,"NA")</f>
        <v>Storvatnet_st1</v>
      </c>
      <c r="Q100" t="str">
        <f>_xlfn.XLOOKUP($P100,localities!$B$2:$B$49,localities!$C$2:$C$49,"NA")</f>
        <v>Storvatnet</v>
      </c>
      <c r="R100">
        <f>_xlfn.XLOOKUP($P100,localities!$B$2:$B$49,localities!$D$2:$D$49,"NA")</f>
        <v>1</v>
      </c>
      <c r="S100">
        <f>_xlfn.XLOOKUP($P100,localities!$B$2:$B$49,localities!$E$2:$E$49,"NA")</f>
        <v>63.621177600000003</v>
      </c>
      <c r="T100">
        <f>_xlfn.XLOOKUP($P100,localities!$B$2:$B$49,localities!$F$2:$F$49,"NA")</f>
        <v>10.2333759</v>
      </c>
      <c r="U100" t="str">
        <f>_xlfn.XLOOKUP($P100,localities!$B$2:$B$49,localities!$G$2:$G$49,"NA")</f>
        <v>WGS84</v>
      </c>
      <c r="V100">
        <f>_xlfn.XLOOKUP($P100,localities!$B$2:$B$49,localities!$H$2:$H$49,"NA")</f>
        <v>5</v>
      </c>
      <c r="W100" t="str">
        <f>_xlfn.XLOOKUP($P100,localities!$B$2:$B$49,localities!$I$2:$I$49,"NA")</f>
        <v>NOR</v>
      </c>
      <c r="X100" t="str">
        <f>_xlfn.XLOOKUP($P100,localities!$B$2:$B$49,localities!$J$2:$J$49,"NA")</f>
        <v>Norway</v>
      </c>
      <c r="Y100" t="str">
        <f>_xlfn.XLOOKUP($P100,localities!$B$2:$B$49,localities!$K$2:$K$49,"NA")</f>
        <v>Nord-Trøndelag</v>
      </c>
      <c r="Z100" t="str">
        <f>_xlfn.XLOOKUP($P100,localities!$B$2:$B$49,localities!$L$2:$L$49,"NA")</f>
        <v>Indre Fosen</v>
      </c>
    </row>
    <row r="101" spans="2:26" x14ac:dyDescent="0.3">
      <c r="B101" t="s">
        <v>167</v>
      </c>
      <c r="C101" s="23">
        <v>4</v>
      </c>
      <c r="E101" t="s">
        <v>57</v>
      </c>
      <c r="F101" s="19">
        <f>_xlfn.XLOOKUP($E101,parent_events!$B$2:$B$56,parent_events!$C$2:$C$56,"NA")</f>
        <v>45098</v>
      </c>
      <c r="G101">
        <f>_xlfn.XLOOKUP($E101,parent_events!$B$2:$B$56,parent_events!$D$2:$D$56,"NA")</f>
        <v>2023</v>
      </c>
      <c r="H101">
        <f>_xlfn.XLOOKUP($E101,parent_events!$B$2:$B$56,parent_events!$E$2:$E$56,"NA")</f>
        <v>6</v>
      </c>
      <c r="I101">
        <f>_xlfn.XLOOKUP($E101,parent_events!$B$2:$B$56,parent_events!$F$2:$F$56,"NA")</f>
        <v>21</v>
      </c>
      <c r="J101">
        <f>_xlfn.XLOOKUP($E101,parent_events!$B$2:$B$56,parent_events!$G$2:$G$56,"NA")</f>
        <v>4</v>
      </c>
      <c r="K101" t="str">
        <f>_xlfn.XLOOKUP($E101,parent_events!$B$2:$B$56,parent_events!$H$2:$H$56,"NA")</f>
        <v>Rot (1 min)</v>
      </c>
      <c r="L101" t="str">
        <f>_xlfn.XLOOKUP($E101,parent_events!$B$2:$B$56,parent_events!$I$2:$I$56,"NA")</f>
        <v>"5 replicates of 1 minute kick samples"</v>
      </c>
      <c r="M101">
        <f>_xlfn.XLOOKUP($E101,parent_events!$B$2:$B$56,parent_events!$J$2:$J$56,"NA")</f>
        <v>1</v>
      </c>
      <c r="N101" s="23" t="str">
        <f>_xlfn.XLOOKUP($E101,parent_events!$B$2:$B$56,parent_events!$K$2:$K$56,"NA")</f>
        <v>decimalMinute</v>
      </c>
      <c r="P101" t="str">
        <f>_xlfn.XLOOKUP($E101,parent_events!$B$2:$B$56,parent_events!$L$2:$L$56,"NA")</f>
        <v>Storvatnet_st1</v>
      </c>
      <c r="Q101" t="str">
        <f>_xlfn.XLOOKUP($P101,localities!$B$2:$B$49,localities!$C$2:$C$49,"NA")</f>
        <v>Storvatnet</v>
      </c>
      <c r="R101">
        <f>_xlfn.XLOOKUP($P101,localities!$B$2:$B$49,localities!$D$2:$D$49,"NA")</f>
        <v>1</v>
      </c>
      <c r="S101">
        <f>_xlfn.XLOOKUP($P101,localities!$B$2:$B$49,localities!$E$2:$E$49,"NA")</f>
        <v>63.621177600000003</v>
      </c>
      <c r="T101">
        <f>_xlfn.XLOOKUP($P101,localities!$B$2:$B$49,localities!$F$2:$F$49,"NA")</f>
        <v>10.2333759</v>
      </c>
      <c r="U101" t="str">
        <f>_xlfn.XLOOKUP($P101,localities!$B$2:$B$49,localities!$G$2:$G$49,"NA")</f>
        <v>WGS84</v>
      </c>
      <c r="V101">
        <f>_xlfn.XLOOKUP($P101,localities!$B$2:$B$49,localities!$H$2:$H$49,"NA")</f>
        <v>5</v>
      </c>
      <c r="W101" t="str">
        <f>_xlfn.XLOOKUP($P101,localities!$B$2:$B$49,localities!$I$2:$I$49,"NA")</f>
        <v>NOR</v>
      </c>
      <c r="X101" t="str">
        <f>_xlfn.XLOOKUP($P101,localities!$B$2:$B$49,localities!$J$2:$J$49,"NA")</f>
        <v>Norway</v>
      </c>
      <c r="Y101" t="str">
        <f>_xlfn.XLOOKUP($P101,localities!$B$2:$B$49,localities!$K$2:$K$49,"NA")</f>
        <v>Nord-Trøndelag</v>
      </c>
      <c r="Z101" t="str">
        <f>_xlfn.XLOOKUP($P101,localities!$B$2:$B$49,localities!$L$2:$L$49,"NA")</f>
        <v>Indre Fosen</v>
      </c>
    </row>
    <row r="102" spans="2:26" x14ac:dyDescent="0.3">
      <c r="B102" t="s">
        <v>168</v>
      </c>
      <c r="C102" s="23">
        <v>5</v>
      </c>
      <c r="E102" t="s">
        <v>57</v>
      </c>
      <c r="F102" s="19">
        <f>_xlfn.XLOOKUP($E102,parent_events!$B$2:$B$56,parent_events!$C$2:$C$56,"NA")</f>
        <v>45098</v>
      </c>
      <c r="G102">
        <f>_xlfn.XLOOKUP($E102,parent_events!$B$2:$B$56,parent_events!$D$2:$D$56,"NA")</f>
        <v>2023</v>
      </c>
      <c r="H102">
        <f>_xlfn.XLOOKUP($E102,parent_events!$B$2:$B$56,parent_events!$E$2:$E$56,"NA")</f>
        <v>6</v>
      </c>
      <c r="I102">
        <f>_xlfn.XLOOKUP($E102,parent_events!$B$2:$B$56,parent_events!$F$2:$F$56,"NA")</f>
        <v>21</v>
      </c>
      <c r="J102">
        <f>_xlfn.XLOOKUP($E102,parent_events!$B$2:$B$56,parent_events!$G$2:$G$56,"NA")</f>
        <v>4</v>
      </c>
      <c r="K102" t="str">
        <f>_xlfn.XLOOKUP($E102,parent_events!$B$2:$B$56,parent_events!$H$2:$H$56,"NA")</f>
        <v>Rot (1 min)</v>
      </c>
      <c r="L102" t="str">
        <f>_xlfn.XLOOKUP($E102,parent_events!$B$2:$B$56,parent_events!$I$2:$I$56,"NA")</f>
        <v>"5 replicates of 1 minute kick samples"</v>
      </c>
      <c r="M102">
        <f>_xlfn.XLOOKUP($E102,parent_events!$B$2:$B$56,parent_events!$J$2:$J$56,"NA")</f>
        <v>1</v>
      </c>
      <c r="N102" s="23" t="str">
        <f>_xlfn.XLOOKUP($E102,parent_events!$B$2:$B$56,parent_events!$K$2:$K$56,"NA")</f>
        <v>decimalMinute</v>
      </c>
      <c r="P102" t="str">
        <f>_xlfn.XLOOKUP($E102,parent_events!$B$2:$B$56,parent_events!$L$2:$L$56,"NA")</f>
        <v>Storvatnet_st1</v>
      </c>
      <c r="Q102" t="str">
        <f>_xlfn.XLOOKUP($P102,localities!$B$2:$B$49,localities!$C$2:$C$49,"NA")</f>
        <v>Storvatnet</v>
      </c>
      <c r="R102">
        <f>_xlfn.XLOOKUP($P102,localities!$B$2:$B$49,localities!$D$2:$D$49,"NA")</f>
        <v>1</v>
      </c>
      <c r="S102">
        <f>_xlfn.XLOOKUP($P102,localities!$B$2:$B$49,localities!$E$2:$E$49,"NA")</f>
        <v>63.621177600000003</v>
      </c>
      <c r="T102">
        <f>_xlfn.XLOOKUP($P102,localities!$B$2:$B$49,localities!$F$2:$F$49,"NA")</f>
        <v>10.2333759</v>
      </c>
      <c r="U102" t="str">
        <f>_xlfn.XLOOKUP($P102,localities!$B$2:$B$49,localities!$G$2:$G$49,"NA")</f>
        <v>WGS84</v>
      </c>
      <c r="V102">
        <f>_xlfn.XLOOKUP($P102,localities!$B$2:$B$49,localities!$H$2:$H$49,"NA")</f>
        <v>5</v>
      </c>
      <c r="W102" t="str">
        <f>_xlfn.XLOOKUP($P102,localities!$B$2:$B$49,localities!$I$2:$I$49,"NA")</f>
        <v>NOR</v>
      </c>
      <c r="X102" t="str">
        <f>_xlfn.XLOOKUP($P102,localities!$B$2:$B$49,localities!$J$2:$J$49,"NA")</f>
        <v>Norway</v>
      </c>
      <c r="Y102" t="str">
        <f>_xlfn.XLOOKUP($P102,localities!$B$2:$B$49,localities!$K$2:$K$49,"NA")</f>
        <v>Nord-Trøndelag</v>
      </c>
      <c r="Z102" t="str">
        <f>_xlfn.XLOOKUP($P102,localities!$B$2:$B$49,localities!$L$2:$L$49,"NA")</f>
        <v>Indre Fosen</v>
      </c>
    </row>
    <row r="103" spans="2:26" x14ac:dyDescent="0.3">
      <c r="B103" t="s">
        <v>169</v>
      </c>
      <c r="C103" s="23">
        <v>1</v>
      </c>
      <c r="E103" t="s">
        <v>58</v>
      </c>
      <c r="F103" s="19">
        <f>_xlfn.XLOOKUP($E103,parent_events!$B$2:$B$56,parent_events!$C$2:$C$56,"NA")</f>
        <v>45098</v>
      </c>
      <c r="G103">
        <f>_xlfn.XLOOKUP($E103,parent_events!$B$2:$B$56,parent_events!$D$2:$D$56,"NA")</f>
        <v>2023</v>
      </c>
      <c r="H103">
        <f>_xlfn.XLOOKUP($E103,parent_events!$B$2:$B$56,parent_events!$E$2:$E$56,"NA")</f>
        <v>6</v>
      </c>
      <c r="I103">
        <f>_xlfn.XLOOKUP($E103,parent_events!$B$2:$B$56,parent_events!$F$2:$F$56,"NA")</f>
        <v>21</v>
      </c>
      <c r="J103">
        <f>_xlfn.XLOOKUP($E103,parent_events!$B$2:$B$56,parent_events!$G$2:$G$56,"NA")</f>
        <v>4</v>
      </c>
      <c r="K103" t="str">
        <f>_xlfn.XLOOKUP($E103,parent_events!$B$2:$B$56,parent_events!$H$2:$H$56,"NA")</f>
        <v>Rot (1 min)</v>
      </c>
      <c r="L103" t="str">
        <f>_xlfn.XLOOKUP($E103,parent_events!$B$2:$B$56,parent_events!$I$2:$I$56,"NA")</f>
        <v>"5 replicates of 1 minute kick samples"</v>
      </c>
      <c r="M103">
        <f>_xlfn.XLOOKUP($E103,parent_events!$B$2:$B$56,parent_events!$J$2:$J$56,"NA")</f>
        <v>1</v>
      </c>
      <c r="N103" s="23" t="str">
        <f>_xlfn.XLOOKUP($E103,parent_events!$B$2:$B$56,parent_events!$K$2:$K$56,"NA")</f>
        <v>decimalMinute</v>
      </c>
      <c r="P103" t="str">
        <f>_xlfn.XLOOKUP($E103,parent_events!$B$2:$B$56,parent_events!$L$2:$L$56,"NA")</f>
        <v>Barsetvatnet_st1</v>
      </c>
      <c r="Q103" t="str">
        <f>_xlfn.XLOOKUP($P103,localities!$B$2:$B$49,localities!$C$2:$C$49,"NA")</f>
        <v>Barsetvatnet</v>
      </c>
      <c r="R103">
        <f>_xlfn.XLOOKUP($P103,localities!$B$2:$B$49,localities!$D$2:$D$49,"NA")</f>
        <v>1</v>
      </c>
      <c r="S103">
        <f>_xlfn.XLOOKUP($P103,localities!$B$2:$B$49,localities!$E$2:$E$49,"NA")</f>
        <v>63.797785500000003</v>
      </c>
      <c r="T103">
        <f>_xlfn.XLOOKUP($P103,localities!$B$2:$B$49,localities!$F$2:$F$49,"NA")</f>
        <v>9.8281852999999995</v>
      </c>
      <c r="U103" t="str">
        <f>_xlfn.XLOOKUP($P103,localities!$B$2:$B$49,localities!$G$2:$G$49,"NA")</f>
        <v>WGS84</v>
      </c>
      <c r="V103">
        <f>_xlfn.XLOOKUP($P103,localities!$B$2:$B$49,localities!$H$2:$H$49,"NA")</f>
        <v>5</v>
      </c>
      <c r="W103" t="str">
        <f>_xlfn.XLOOKUP($P103,localities!$B$2:$B$49,localities!$I$2:$I$49,"NA")</f>
        <v>NOR</v>
      </c>
      <c r="X103" t="str">
        <f>_xlfn.XLOOKUP($P103,localities!$B$2:$B$49,localities!$J$2:$J$49,"NA")</f>
        <v>Norway</v>
      </c>
      <c r="Y103" t="str">
        <f>_xlfn.XLOOKUP($P103,localities!$B$2:$B$49,localities!$K$2:$K$49,"NA")</f>
        <v>Sør-Trøndelag</v>
      </c>
      <c r="Z103" t="str">
        <f>_xlfn.XLOOKUP($P103,localities!$B$2:$B$49,localities!$L$2:$L$49,"NA")</f>
        <v>Ørland</v>
      </c>
    </row>
    <row r="104" spans="2:26" x14ac:dyDescent="0.3">
      <c r="B104" t="s">
        <v>170</v>
      </c>
      <c r="C104" s="23">
        <v>2</v>
      </c>
      <c r="E104" t="s">
        <v>58</v>
      </c>
      <c r="F104" s="19">
        <f>_xlfn.XLOOKUP($E104,parent_events!$B$2:$B$56,parent_events!$C$2:$C$56,"NA")</f>
        <v>45098</v>
      </c>
      <c r="G104">
        <f>_xlfn.XLOOKUP($E104,parent_events!$B$2:$B$56,parent_events!$D$2:$D$56,"NA")</f>
        <v>2023</v>
      </c>
      <c r="H104">
        <f>_xlfn.XLOOKUP($E104,parent_events!$B$2:$B$56,parent_events!$E$2:$E$56,"NA")</f>
        <v>6</v>
      </c>
      <c r="I104">
        <f>_xlfn.XLOOKUP($E104,parent_events!$B$2:$B$56,parent_events!$F$2:$F$56,"NA")</f>
        <v>21</v>
      </c>
      <c r="J104">
        <f>_xlfn.XLOOKUP($E104,parent_events!$B$2:$B$56,parent_events!$G$2:$G$56,"NA")</f>
        <v>4</v>
      </c>
      <c r="K104" t="str">
        <f>_xlfn.XLOOKUP($E104,parent_events!$B$2:$B$56,parent_events!$H$2:$H$56,"NA")</f>
        <v>Rot (1 min)</v>
      </c>
      <c r="L104" t="str">
        <f>_xlfn.XLOOKUP($E104,parent_events!$B$2:$B$56,parent_events!$I$2:$I$56,"NA")</f>
        <v>"5 replicates of 1 minute kick samples"</v>
      </c>
      <c r="M104">
        <f>_xlfn.XLOOKUP($E104,parent_events!$B$2:$B$56,parent_events!$J$2:$J$56,"NA")</f>
        <v>1</v>
      </c>
      <c r="N104" s="23" t="str">
        <f>_xlfn.XLOOKUP($E104,parent_events!$B$2:$B$56,parent_events!$K$2:$K$56,"NA")</f>
        <v>decimalMinute</v>
      </c>
      <c r="P104" t="str">
        <f>_xlfn.XLOOKUP($E104,parent_events!$B$2:$B$56,parent_events!$L$2:$L$56,"NA")</f>
        <v>Barsetvatnet_st1</v>
      </c>
      <c r="Q104" t="str">
        <f>_xlfn.XLOOKUP($P104,localities!$B$2:$B$49,localities!$C$2:$C$49,"NA")</f>
        <v>Barsetvatnet</v>
      </c>
      <c r="R104">
        <f>_xlfn.XLOOKUP($P104,localities!$B$2:$B$49,localities!$D$2:$D$49,"NA")</f>
        <v>1</v>
      </c>
      <c r="S104">
        <f>_xlfn.XLOOKUP($P104,localities!$B$2:$B$49,localities!$E$2:$E$49,"NA")</f>
        <v>63.797785500000003</v>
      </c>
      <c r="T104">
        <f>_xlfn.XLOOKUP($P104,localities!$B$2:$B$49,localities!$F$2:$F$49,"NA")</f>
        <v>9.8281852999999995</v>
      </c>
      <c r="U104" t="str">
        <f>_xlfn.XLOOKUP($P104,localities!$B$2:$B$49,localities!$G$2:$G$49,"NA")</f>
        <v>WGS84</v>
      </c>
      <c r="V104">
        <f>_xlfn.XLOOKUP($P104,localities!$B$2:$B$49,localities!$H$2:$H$49,"NA")</f>
        <v>5</v>
      </c>
      <c r="W104" t="str">
        <f>_xlfn.XLOOKUP($P104,localities!$B$2:$B$49,localities!$I$2:$I$49,"NA")</f>
        <v>NOR</v>
      </c>
      <c r="X104" t="str">
        <f>_xlfn.XLOOKUP($P104,localities!$B$2:$B$49,localities!$J$2:$J$49,"NA")</f>
        <v>Norway</v>
      </c>
      <c r="Y104" t="str">
        <f>_xlfn.XLOOKUP($P104,localities!$B$2:$B$49,localities!$K$2:$K$49,"NA")</f>
        <v>Sør-Trøndelag</v>
      </c>
      <c r="Z104" t="str">
        <f>_xlfn.XLOOKUP($P104,localities!$B$2:$B$49,localities!$L$2:$L$49,"NA")</f>
        <v>Ørland</v>
      </c>
    </row>
    <row r="105" spans="2:26" x14ac:dyDescent="0.3">
      <c r="B105" t="s">
        <v>171</v>
      </c>
      <c r="C105" s="23">
        <v>3</v>
      </c>
      <c r="E105" t="s">
        <v>58</v>
      </c>
      <c r="F105" s="19">
        <f>_xlfn.XLOOKUP($E105,parent_events!$B$2:$B$56,parent_events!$C$2:$C$56,"NA")</f>
        <v>45098</v>
      </c>
      <c r="G105">
        <f>_xlfn.XLOOKUP($E105,parent_events!$B$2:$B$56,parent_events!$D$2:$D$56,"NA")</f>
        <v>2023</v>
      </c>
      <c r="H105">
        <f>_xlfn.XLOOKUP($E105,parent_events!$B$2:$B$56,parent_events!$E$2:$E$56,"NA")</f>
        <v>6</v>
      </c>
      <c r="I105">
        <f>_xlfn.XLOOKUP($E105,parent_events!$B$2:$B$56,parent_events!$F$2:$F$56,"NA")</f>
        <v>21</v>
      </c>
      <c r="J105">
        <f>_xlfn.XLOOKUP($E105,parent_events!$B$2:$B$56,parent_events!$G$2:$G$56,"NA")</f>
        <v>4</v>
      </c>
      <c r="K105" t="str">
        <f>_xlfn.XLOOKUP($E105,parent_events!$B$2:$B$56,parent_events!$H$2:$H$56,"NA")</f>
        <v>Rot (1 min)</v>
      </c>
      <c r="L105" t="str">
        <f>_xlfn.XLOOKUP($E105,parent_events!$B$2:$B$56,parent_events!$I$2:$I$56,"NA")</f>
        <v>"5 replicates of 1 minute kick samples"</v>
      </c>
      <c r="M105">
        <f>_xlfn.XLOOKUP($E105,parent_events!$B$2:$B$56,parent_events!$J$2:$J$56,"NA")</f>
        <v>1</v>
      </c>
      <c r="N105" s="23" t="str">
        <f>_xlfn.XLOOKUP($E105,parent_events!$B$2:$B$56,parent_events!$K$2:$K$56,"NA")</f>
        <v>decimalMinute</v>
      </c>
      <c r="P105" t="str">
        <f>_xlfn.XLOOKUP($E105,parent_events!$B$2:$B$56,parent_events!$L$2:$L$56,"NA")</f>
        <v>Barsetvatnet_st1</v>
      </c>
      <c r="Q105" t="str">
        <f>_xlfn.XLOOKUP($P105,localities!$B$2:$B$49,localities!$C$2:$C$49,"NA")</f>
        <v>Barsetvatnet</v>
      </c>
      <c r="R105">
        <f>_xlfn.XLOOKUP($P105,localities!$B$2:$B$49,localities!$D$2:$D$49,"NA")</f>
        <v>1</v>
      </c>
      <c r="S105">
        <f>_xlfn.XLOOKUP($P105,localities!$B$2:$B$49,localities!$E$2:$E$49,"NA")</f>
        <v>63.797785500000003</v>
      </c>
      <c r="T105">
        <f>_xlfn.XLOOKUP($P105,localities!$B$2:$B$49,localities!$F$2:$F$49,"NA")</f>
        <v>9.8281852999999995</v>
      </c>
      <c r="U105" t="str">
        <f>_xlfn.XLOOKUP($P105,localities!$B$2:$B$49,localities!$G$2:$G$49,"NA")</f>
        <v>WGS84</v>
      </c>
      <c r="V105">
        <f>_xlfn.XLOOKUP($P105,localities!$B$2:$B$49,localities!$H$2:$H$49,"NA")</f>
        <v>5</v>
      </c>
      <c r="W105" t="str">
        <f>_xlfn.XLOOKUP($P105,localities!$B$2:$B$49,localities!$I$2:$I$49,"NA")</f>
        <v>NOR</v>
      </c>
      <c r="X105" t="str">
        <f>_xlfn.XLOOKUP($P105,localities!$B$2:$B$49,localities!$J$2:$J$49,"NA")</f>
        <v>Norway</v>
      </c>
      <c r="Y105" t="str">
        <f>_xlfn.XLOOKUP($P105,localities!$B$2:$B$49,localities!$K$2:$K$49,"NA")</f>
        <v>Sør-Trøndelag</v>
      </c>
      <c r="Z105" t="str">
        <f>_xlfn.XLOOKUP($P105,localities!$B$2:$B$49,localities!$L$2:$L$49,"NA")</f>
        <v>Ørland</v>
      </c>
    </row>
    <row r="106" spans="2:26" x14ac:dyDescent="0.3">
      <c r="B106" t="s">
        <v>172</v>
      </c>
      <c r="C106" s="23">
        <v>4</v>
      </c>
      <c r="E106" t="s">
        <v>58</v>
      </c>
      <c r="F106" s="19">
        <f>_xlfn.XLOOKUP($E106,parent_events!$B$2:$B$56,parent_events!$C$2:$C$56,"NA")</f>
        <v>45098</v>
      </c>
      <c r="G106">
        <f>_xlfn.XLOOKUP($E106,parent_events!$B$2:$B$56,parent_events!$D$2:$D$56,"NA")</f>
        <v>2023</v>
      </c>
      <c r="H106">
        <f>_xlfn.XLOOKUP($E106,parent_events!$B$2:$B$56,parent_events!$E$2:$E$56,"NA")</f>
        <v>6</v>
      </c>
      <c r="I106">
        <f>_xlfn.XLOOKUP($E106,parent_events!$B$2:$B$56,parent_events!$F$2:$F$56,"NA")</f>
        <v>21</v>
      </c>
      <c r="J106">
        <f>_xlfn.XLOOKUP($E106,parent_events!$B$2:$B$56,parent_events!$G$2:$G$56,"NA")</f>
        <v>4</v>
      </c>
      <c r="K106" t="str">
        <f>_xlfn.XLOOKUP($E106,parent_events!$B$2:$B$56,parent_events!$H$2:$H$56,"NA")</f>
        <v>Rot (1 min)</v>
      </c>
      <c r="L106" t="str">
        <f>_xlfn.XLOOKUP($E106,parent_events!$B$2:$B$56,parent_events!$I$2:$I$56,"NA")</f>
        <v>"5 replicates of 1 minute kick samples"</v>
      </c>
      <c r="M106">
        <f>_xlfn.XLOOKUP($E106,parent_events!$B$2:$B$56,parent_events!$J$2:$J$56,"NA")</f>
        <v>1</v>
      </c>
      <c r="N106" s="23" t="str">
        <f>_xlfn.XLOOKUP($E106,parent_events!$B$2:$B$56,parent_events!$K$2:$K$56,"NA")</f>
        <v>decimalMinute</v>
      </c>
      <c r="P106" t="str">
        <f>_xlfn.XLOOKUP($E106,parent_events!$B$2:$B$56,parent_events!$L$2:$L$56,"NA")</f>
        <v>Barsetvatnet_st1</v>
      </c>
      <c r="Q106" t="str">
        <f>_xlfn.XLOOKUP($P106,localities!$B$2:$B$49,localities!$C$2:$C$49,"NA")</f>
        <v>Barsetvatnet</v>
      </c>
      <c r="R106">
        <f>_xlfn.XLOOKUP($P106,localities!$B$2:$B$49,localities!$D$2:$D$49,"NA")</f>
        <v>1</v>
      </c>
      <c r="S106">
        <f>_xlfn.XLOOKUP($P106,localities!$B$2:$B$49,localities!$E$2:$E$49,"NA")</f>
        <v>63.797785500000003</v>
      </c>
      <c r="T106">
        <f>_xlfn.XLOOKUP($P106,localities!$B$2:$B$49,localities!$F$2:$F$49,"NA")</f>
        <v>9.8281852999999995</v>
      </c>
      <c r="U106" t="str">
        <f>_xlfn.XLOOKUP($P106,localities!$B$2:$B$49,localities!$G$2:$G$49,"NA")</f>
        <v>WGS84</v>
      </c>
      <c r="V106">
        <f>_xlfn.XLOOKUP($P106,localities!$B$2:$B$49,localities!$H$2:$H$49,"NA")</f>
        <v>5</v>
      </c>
      <c r="W106" t="str">
        <f>_xlfn.XLOOKUP($P106,localities!$B$2:$B$49,localities!$I$2:$I$49,"NA")</f>
        <v>NOR</v>
      </c>
      <c r="X106" t="str">
        <f>_xlfn.XLOOKUP($P106,localities!$B$2:$B$49,localities!$J$2:$J$49,"NA")</f>
        <v>Norway</v>
      </c>
      <c r="Y106" t="str">
        <f>_xlfn.XLOOKUP($P106,localities!$B$2:$B$49,localities!$K$2:$K$49,"NA")</f>
        <v>Sør-Trøndelag</v>
      </c>
      <c r="Z106" t="str">
        <f>_xlfn.XLOOKUP($P106,localities!$B$2:$B$49,localities!$L$2:$L$49,"NA")</f>
        <v>Ørland</v>
      </c>
    </row>
    <row r="107" spans="2:26" x14ac:dyDescent="0.3">
      <c r="B107" t="s">
        <v>173</v>
      </c>
      <c r="C107" s="23">
        <v>5</v>
      </c>
      <c r="E107" t="s">
        <v>58</v>
      </c>
      <c r="F107" s="19">
        <f>_xlfn.XLOOKUP($E107,parent_events!$B$2:$B$56,parent_events!$C$2:$C$56,"NA")</f>
        <v>45098</v>
      </c>
      <c r="G107">
        <f>_xlfn.XLOOKUP($E107,parent_events!$B$2:$B$56,parent_events!$D$2:$D$56,"NA")</f>
        <v>2023</v>
      </c>
      <c r="H107">
        <f>_xlfn.XLOOKUP($E107,parent_events!$B$2:$B$56,parent_events!$E$2:$E$56,"NA")</f>
        <v>6</v>
      </c>
      <c r="I107">
        <f>_xlfn.XLOOKUP($E107,parent_events!$B$2:$B$56,parent_events!$F$2:$F$56,"NA")</f>
        <v>21</v>
      </c>
      <c r="J107">
        <f>_xlfn.XLOOKUP($E107,parent_events!$B$2:$B$56,parent_events!$G$2:$G$56,"NA")</f>
        <v>4</v>
      </c>
      <c r="K107" t="str">
        <f>_xlfn.XLOOKUP($E107,parent_events!$B$2:$B$56,parent_events!$H$2:$H$56,"NA")</f>
        <v>Rot (1 min)</v>
      </c>
      <c r="L107" t="str">
        <f>_xlfn.XLOOKUP($E107,parent_events!$B$2:$B$56,parent_events!$I$2:$I$56,"NA")</f>
        <v>"5 replicates of 1 minute kick samples"</v>
      </c>
      <c r="M107">
        <f>_xlfn.XLOOKUP($E107,parent_events!$B$2:$B$56,parent_events!$J$2:$J$56,"NA")</f>
        <v>1</v>
      </c>
      <c r="N107" s="23" t="str">
        <f>_xlfn.XLOOKUP($E107,parent_events!$B$2:$B$56,parent_events!$K$2:$K$56,"NA")</f>
        <v>decimalMinute</v>
      </c>
      <c r="P107" t="str">
        <f>_xlfn.XLOOKUP($E107,parent_events!$B$2:$B$56,parent_events!$L$2:$L$56,"NA")</f>
        <v>Barsetvatnet_st1</v>
      </c>
      <c r="Q107" t="str">
        <f>_xlfn.XLOOKUP($P107,localities!$B$2:$B$49,localities!$C$2:$C$49,"NA")</f>
        <v>Barsetvatnet</v>
      </c>
      <c r="R107">
        <f>_xlfn.XLOOKUP($P107,localities!$B$2:$B$49,localities!$D$2:$D$49,"NA")</f>
        <v>1</v>
      </c>
      <c r="S107">
        <f>_xlfn.XLOOKUP($P107,localities!$B$2:$B$49,localities!$E$2:$E$49,"NA")</f>
        <v>63.797785500000003</v>
      </c>
      <c r="T107">
        <f>_xlfn.XLOOKUP($P107,localities!$B$2:$B$49,localities!$F$2:$F$49,"NA")</f>
        <v>9.8281852999999995</v>
      </c>
      <c r="U107" t="str">
        <f>_xlfn.XLOOKUP($P107,localities!$B$2:$B$49,localities!$G$2:$G$49,"NA")</f>
        <v>WGS84</v>
      </c>
      <c r="V107">
        <f>_xlfn.XLOOKUP($P107,localities!$B$2:$B$49,localities!$H$2:$H$49,"NA")</f>
        <v>5</v>
      </c>
      <c r="W107" t="str">
        <f>_xlfn.XLOOKUP($P107,localities!$B$2:$B$49,localities!$I$2:$I$49,"NA")</f>
        <v>NOR</v>
      </c>
      <c r="X107" t="str">
        <f>_xlfn.XLOOKUP($P107,localities!$B$2:$B$49,localities!$J$2:$J$49,"NA")</f>
        <v>Norway</v>
      </c>
      <c r="Y107" t="str">
        <f>_xlfn.XLOOKUP($P107,localities!$B$2:$B$49,localities!$K$2:$K$49,"NA")</f>
        <v>Sør-Trøndelag</v>
      </c>
      <c r="Z107" t="str">
        <f>_xlfn.XLOOKUP($P107,localities!$B$2:$B$49,localities!$L$2:$L$49,"NA")</f>
        <v>Ørland</v>
      </c>
    </row>
    <row r="108" spans="2:26" x14ac:dyDescent="0.3">
      <c r="B108" t="s">
        <v>174</v>
      </c>
      <c r="C108" s="23">
        <v>1</v>
      </c>
      <c r="E108" t="s">
        <v>59</v>
      </c>
      <c r="F108" s="19">
        <f>_xlfn.XLOOKUP($E108,parent_events!$B$2:$B$56,parent_events!$C$2:$C$56,"NA")</f>
        <v>45098</v>
      </c>
      <c r="G108">
        <f>_xlfn.XLOOKUP($E108,parent_events!$B$2:$B$56,parent_events!$D$2:$D$56,"NA")</f>
        <v>2023</v>
      </c>
      <c r="H108">
        <f>_xlfn.XLOOKUP($E108,parent_events!$B$2:$B$56,parent_events!$E$2:$E$56,"NA")</f>
        <v>6</v>
      </c>
      <c r="I108">
        <f>_xlfn.XLOOKUP($E108,parent_events!$B$2:$B$56,parent_events!$F$2:$F$56,"NA")</f>
        <v>21</v>
      </c>
      <c r="J108">
        <f>_xlfn.XLOOKUP($E108,parent_events!$B$2:$B$56,parent_events!$G$2:$G$56,"NA")</f>
        <v>4</v>
      </c>
      <c r="K108" t="str">
        <f>_xlfn.XLOOKUP($E108,parent_events!$B$2:$B$56,parent_events!$H$2:$H$56,"NA")</f>
        <v>Rot (1 min)</v>
      </c>
      <c r="L108" t="str">
        <f>_xlfn.XLOOKUP($E108,parent_events!$B$2:$B$56,parent_events!$I$2:$I$56,"NA")</f>
        <v>"5 replicates of 1 minute kick samples"</v>
      </c>
      <c r="M108">
        <f>_xlfn.XLOOKUP($E108,parent_events!$B$2:$B$56,parent_events!$J$2:$J$56,"NA")</f>
        <v>1</v>
      </c>
      <c r="N108" s="23" t="str">
        <f>_xlfn.XLOOKUP($E108,parent_events!$B$2:$B$56,parent_events!$K$2:$K$56,"NA")</f>
        <v>decimalMinute</v>
      </c>
      <c r="P108" t="str">
        <f>_xlfn.XLOOKUP($E108,parent_events!$B$2:$B$56,parent_events!$L$2:$L$56,"NA")</f>
        <v>Gjoljavatnet_st1</v>
      </c>
      <c r="Q108" t="str">
        <f>_xlfn.XLOOKUP($P108,localities!$B$2:$B$49,localities!$C$2:$C$49,"NA")</f>
        <v>Gjøljavatnet</v>
      </c>
      <c r="R108">
        <f>_xlfn.XLOOKUP($P108,localities!$B$2:$B$49,localities!$D$2:$D$49,"NA")</f>
        <v>1</v>
      </c>
      <c r="S108">
        <f>_xlfn.XLOOKUP($P108,localities!$B$2:$B$49,localities!$E$2:$E$49,"NA")</f>
        <v>63.789260900000002</v>
      </c>
      <c r="T108">
        <f>_xlfn.XLOOKUP($P108,localities!$B$2:$B$49,localities!$F$2:$F$49,"NA")</f>
        <v>10.0251734</v>
      </c>
      <c r="U108" t="str">
        <f>_xlfn.XLOOKUP($P108,localities!$B$2:$B$49,localities!$G$2:$G$49,"NA")</f>
        <v>WGS84</v>
      </c>
      <c r="V108">
        <f>_xlfn.XLOOKUP($P108,localities!$B$2:$B$49,localities!$H$2:$H$49,"NA")</f>
        <v>5</v>
      </c>
      <c r="W108" t="str">
        <f>_xlfn.XLOOKUP($P108,localities!$B$2:$B$49,localities!$I$2:$I$49,"NA")</f>
        <v>NOR</v>
      </c>
      <c r="X108" t="str">
        <f>_xlfn.XLOOKUP($P108,localities!$B$2:$B$49,localities!$J$2:$J$49,"NA")</f>
        <v>Norway</v>
      </c>
      <c r="Y108" t="str">
        <f>_xlfn.XLOOKUP($P108,localities!$B$2:$B$49,localities!$K$2:$K$49,"NA")</f>
        <v>Sør-Trøndelag</v>
      </c>
      <c r="Z108" t="str">
        <f>_xlfn.XLOOKUP($P108,localities!$B$2:$B$49,localities!$L$2:$L$49,"NA")</f>
        <v>Indre Fosen</v>
      </c>
    </row>
    <row r="109" spans="2:26" x14ac:dyDescent="0.3">
      <c r="B109" t="s">
        <v>175</v>
      </c>
      <c r="C109" s="23">
        <v>2</v>
      </c>
      <c r="E109" t="s">
        <v>59</v>
      </c>
      <c r="F109" s="19">
        <f>_xlfn.XLOOKUP($E109,parent_events!$B$2:$B$56,parent_events!$C$2:$C$56,"NA")</f>
        <v>45098</v>
      </c>
      <c r="G109">
        <f>_xlfn.XLOOKUP($E109,parent_events!$B$2:$B$56,parent_events!$D$2:$D$56,"NA")</f>
        <v>2023</v>
      </c>
      <c r="H109">
        <f>_xlfn.XLOOKUP($E109,parent_events!$B$2:$B$56,parent_events!$E$2:$E$56,"NA")</f>
        <v>6</v>
      </c>
      <c r="I109">
        <f>_xlfn.XLOOKUP($E109,parent_events!$B$2:$B$56,parent_events!$F$2:$F$56,"NA")</f>
        <v>21</v>
      </c>
      <c r="J109">
        <f>_xlfn.XLOOKUP($E109,parent_events!$B$2:$B$56,parent_events!$G$2:$G$56,"NA")</f>
        <v>4</v>
      </c>
      <c r="K109" t="str">
        <f>_xlfn.XLOOKUP($E109,parent_events!$B$2:$B$56,parent_events!$H$2:$H$56,"NA")</f>
        <v>Rot (1 min)</v>
      </c>
      <c r="L109" t="str">
        <f>_xlfn.XLOOKUP($E109,parent_events!$B$2:$B$56,parent_events!$I$2:$I$56,"NA")</f>
        <v>"5 replicates of 1 minute kick samples"</v>
      </c>
      <c r="M109">
        <f>_xlfn.XLOOKUP($E109,parent_events!$B$2:$B$56,parent_events!$J$2:$J$56,"NA")</f>
        <v>1</v>
      </c>
      <c r="N109" s="23" t="str">
        <f>_xlfn.XLOOKUP($E109,parent_events!$B$2:$B$56,parent_events!$K$2:$K$56,"NA")</f>
        <v>decimalMinute</v>
      </c>
      <c r="P109" t="str">
        <f>_xlfn.XLOOKUP($E109,parent_events!$B$2:$B$56,parent_events!$L$2:$L$56,"NA")</f>
        <v>Gjoljavatnet_st1</v>
      </c>
      <c r="Q109" t="str">
        <f>_xlfn.XLOOKUP($P109,localities!$B$2:$B$49,localities!$C$2:$C$49,"NA")</f>
        <v>Gjøljavatnet</v>
      </c>
      <c r="R109">
        <f>_xlfn.XLOOKUP($P109,localities!$B$2:$B$49,localities!$D$2:$D$49,"NA")</f>
        <v>1</v>
      </c>
      <c r="S109">
        <f>_xlfn.XLOOKUP($P109,localities!$B$2:$B$49,localities!$E$2:$E$49,"NA")</f>
        <v>63.789260900000002</v>
      </c>
      <c r="T109">
        <f>_xlfn.XLOOKUP($P109,localities!$B$2:$B$49,localities!$F$2:$F$49,"NA")</f>
        <v>10.0251734</v>
      </c>
      <c r="U109" t="str">
        <f>_xlfn.XLOOKUP($P109,localities!$B$2:$B$49,localities!$G$2:$G$49,"NA")</f>
        <v>WGS84</v>
      </c>
      <c r="V109">
        <f>_xlfn.XLOOKUP($P109,localities!$B$2:$B$49,localities!$H$2:$H$49,"NA")</f>
        <v>5</v>
      </c>
      <c r="W109" t="str">
        <f>_xlfn.XLOOKUP($P109,localities!$B$2:$B$49,localities!$I$2:$I$49,"NA")</f>
        <v>NOR</v>
      </c>
      <c r="X109" t="str">
        <f>_xlfn.XLOOKUP($P109,localities!$B$2:$B$49,localities!$J$2:$J$49,"NA")</f>
        <v>Norway</v>
      </c>
      <c r="Y109" t="str">
        <f>_xlfn.XLOOKUP($P109,localities!$B$2:$B$49,localities!$K$2:$K$49,"NA")</f>
        <v>Sør-Trøndelag</v>
      </c>
      <c r="Z109" t="str">
        <f>_xlfn.XLOOKUP($P109,localities!$B$2:$B$49,localities!$L$2:$L$49,"NA")</f>
        <v>Indre Fosen</v>
      </c>
    </row>
    <row r="110" spans="2:26" x14ac:dyDescent="0.3">
      <c r="B110" t="s">
        <v>176</v>
      </c>
      <c r="C110" s="23">
        <v>3</v>
      </c>
      <c r="E110" t="s">
        <v>59</v>
      </c>
      <c r="F110" s="19">
        <f>_xlfn.XLOOKUP($E110,parent_events!$B$2:$B$56,parent_events!$C$2:$C$56,"NA")</f>
        <v>45098</v>
      </c>
      <c r="G110">
        <f>_xlfn.XLOOKUP($E110,parent_events!$B$2:$B$56,parent_events!$D$2:$D$56,"NA")</f>
        <v>2023</v>
      </c>
      <c r="H110">
        <f>_xlfn.XLOOKUP($E110,parent_events!$B$2:$B$56,parent_events!$E$2:$E$56,"NA")</f>
        <v>6</v>
      </c>
      <c r="I110">
        <f>_xlfn.XLOOKUP($E110,parent_events!$B$2:$B$56,parent_events!$F$2:$F$56,"NA")</f>
        <v>21</v>
      </c>
      <c r="J110">
        <f>_xlfn.XLOOKUP($E110,parent_events!$B$2:$B$56,parent_events!$G$2:$G$56,"NA")</f>
        <v>4</v>
      </c>
      <c r="K110" t="str">
        <f>_xlfn.XLOOKUP($E110,parent_events!$B$2:$B$56,parent_events!$H$2:$H$56,"NA")</f>
        <v>Rot (1 min)</v>
      </c>
      <c r="L110" t="str">
        <f>_xlfn.XLOOKUP($E110,parent_events!$B$2:$B$56,parent_events!$I$2:$I$56,"NA")</f>
        <v>"5 replicates of 1 minute kick samples"</v>
      </c>
      <c r="M110">
        <f>_xlfn.XLOOKUP($E110,parent_events!$B$2:$B$56,parent_events!$J$2:$J$56,"NA")</f>
        <v>1</v>
      </c>
      <c r="N110" s="23" t="str">
        <f>_xlfn.XLOOKUP($E110,parent_events!$B$2:$B$56,parent_events!$K$2:$K$56,"NA")</f>
        <v>decimalMinute</v>
      </c>
      <c r="P110" t="str">
        <f>_xlfn.XLOOKUP($E110,parent_events!$B$2:$B$56,parent_events!$L$2:$L$56,"NA")</f>
        <v>Gjoljavatnet_st1</v>
      </c>
      <c r="Q110" t="str">
        <f>_xlfn.XLOOKUP($P110,localities!$B$2:$B$49,localities!$C$2:$C$49,"NA")</f>
        <v>Gjøljavatnet</v>
      </c>
      <c r="R110">
        <f>_xlfn.XLOOKUP($P110,localities!$B$2:$B$49,localities!$D$2:$D$49,"NA")</f>
        <v>1</v>
      </c>
      <c r="S110">
        <f>_xlfn.XLOOKUP($P110,localities!$B$2:$B$49,localities!$E$2:$E$49,"NA")</f>
        <v>63.789260900000002</v>
      </c>
      <c r="T110">
        <f>_xlfn.XLOOKUP($P110,localities!$B$2:$B$49,localities!$F$2:$F$49,"NA")</f>
        <v>10.0251734</v>
      </c>
      <c r="U110" t="str">
        <f>_xlfn.XLOOKUP($P110,localities!$B$2:$B$49,localities!$G$2:$G$49,"NA")</f>
        <v>WGS84</v>
      </c>
      <c r="V110">
        <f>_xlfn.XLOOKUP($P110,localities!$B$2:$B$49,localities!$H$2:$H$49,"NA")</f>
        <v>5</v>
      </c>
      <c r="W110" t="str">
        <f>_xlfn.XLOOKUP($P110,localities!$B$2:$B$49,localities!$I$2:$I$49,"NA")</f>
        <v>NOR</v>
      </c>
      <c r="X110" t="str">
        <f>_xlfn.XLOOKUP($P110,localities!$B$2:$B$49,localities!$J$2:$J$49,"NA")</f>
        <v>Norway</v>
      </c>
      <c r="Y110" t="str">
        <f>_xlfn.XLOOKUP($P110,localities!$B$2:$B$49,localities!$K$2:$K$49,"NA")</f>
        <v>Sør-Trøndelag</v>
      </c>
      <c r="Z110" t="str">
        <f>_xlfn.XLOOKUP($P110,localities!$B$2:$B$49,localities!$L$2:$L$49,"NA")</f>
        <v>Indre Fosen</v>
      </c>
    </row>
    <row r="111" spans="2:26" x14ac:dyDescent="0.3">
      <c r="B111" t="s">
        <v>177</v>
      </c>
      <c r="C111" s="23">
        <v>4</v>
      </c>
      <c r="E111" t="s">
        <v>59</v>
      </c>
      <c r="F111" s="19">
        <f>_xlfn.XLOOKUP($E111,parent_events!$B$2:$B$56,parent_events!$C$2:$C$56,"NA")</f>
        <v>45098</v>
      </c>
      <c r="G111">
        <f>_xlfn.XLOOKUP($E111,parent_events!$B$2:$B$56,parent_events!$D$2:$D$56,"NA")</f>
        <v>2023</v>
      </c>
      <c r="H111">
        <f>_xlfn.XLOOKUP($E111,parent_events!$B$2:$B$56,parent_events!$E$2:$E$56,"NA")</f>
        <v>6</v>
      </c>
      <c r="I111">
        <f>_xlfn.XLOOKUP($E111,parent_events!$B$2:$B$56,parent_events!$F$2:$F$56,"NA")</f>
        <v>21</v>
      </c>
      <c r="J111">
        <f>_xlfn.XLOOKUP($E111,parent_events!$B$2:$B$56,parent_events!$G$2:$G$56,"NA")</f>
        <v>4</v>
      </c>
      <c r="K111" t="str">
        <f>_xlfn.XLOOKUP($E111,parent_events!$B$2:$B$56,parent_events!$H$2:$H$56,"NA")</f>
        <v>Rot (1 min)</v>
      </c>
      <c r="L111" t="str">
        <f>_xlfn.XLOOKUP($E111,parent_events!$B$2:$B$56,parent_events!$I$2:$I$56,"NA")</f>
        <v>"5 replicates of 1 minute kick samples"</v>
      </c>
      <c r="M111">
        <f>_xlfn.XLOOKUP($E111,parent_events!$B$2:$B$56,parent_events!$J$2:$J$56,"NA")</f>
        <v>1</v>
      </c>
      <c r="N111" s="23" t="str">
        <f>_xlfn.XLOOKUP($E111,parent_events!$B$2:$B$56,parent_events!$K$2:$K$56,"NA")</f>
        <v>decimalMinute</v>
      </c>
      <c r="P111" t="str">
        <f>_xlfn.XLOOKUP($E111,parent_events!$B$2:$B$56,parent_events!$L$2:$L$56,"NA")</f>
        <v>Gjoljavatnet_st1</v>
      </c>
      <c r="Q111" t="str">
        <f>_xlfn.XLOOKUP($P111,localities!$B$2:$B$49,localities!$C$2:$C$49,"NA")</f>
        <v>Gjøljavatnet</v>
      </c>
      <c r="R111">
        <f>_xlfn.XLOOKUP($P111,localities!$B$2:$B$49,localities!$D$2:$D$49,"NA")</f>
        <v>1</v>
      </c>
      <c r="S111">
        <f>_xlfn.XLOOKUP($P111,localities!$B$2:$B$49,localities!$E$2:$E$49,"NA")</f>
        <v>63.789260900000002</v>
      </c>
      <c r="T111">
        <f>_xlfn.XLOOKUP($P111,localities!$B$2:$B$49,localities!$F$2:$F$49,"NA")</f>
        <v>10.0251734</v>
      </c>
      <c r="U111" t="str">
        <f>_xlfn.XLOOKUP($P111,localities!$B$2:$B$49,localities!$G$2:$G$49,"NA")</f>
        <v>WGS84</v>
      </c>
      <c r="V111">
        <f>_xlfn.XLOOKUP($P111,localities!$B$2:$B$49,localities!$H$2:$H$49,"NA")</f>
        <v>5</v>
      </c>
      <c r="W111" t="str">
        <f>_xlfn.XLOOKUP($P111,localities!$B$2:$B$49,localities!$I$2:$I$49,"NA")</f>
        <v>NOR</v>
      </c>
      <c r="X111" t="str">
        <f>_xlfn.XLOOKUP($P111,localities!$B$2:$B$49,localities!$J$2:$J$49,"NA")</f>
        <v>Norway</v>
      </c>
      <c r="Y111" t="str">
        <f>_xlfn.XLOOKUP($P111,localities!$B$2:$B$49,localities!$K$2:$K$49,"NA")</f>
        <v>Sør-Trøndelag</v>
      </c>
      <c r="Z111" t="str">
        <f>_xlfn.XLOOKUP($P111,localities!$B$2:$B$49,localities!$L$2:$L$49,"NA")</f>
        <v>Indre Fosen</v>
      </c>
    </row>
    <row r="112" spans="2:26" x14ac:dyDescent="0.3">
      <c r="B112" t="s">
        <v>178</v>
      </c>
      <c r="C112" s="23">
        <v>5</v>
      </c>
      <c r="E112" t="s">
        <v>59</v>
      </c>
      <c r="F112" s="19">
        <f>_xlfn.XLOOKUP($E112,parent_events!$B$2:$B$56,parent_events!$C$2:$C$56,"NA")</f>
        <v>45098</v>
      </c>
      <c r="G112">
        <f>_xlfn.XLOOKUP($E112,parent_events!$B$2:$B$56,parent_events!$D$2:$D$56,"NA")</f>
        <v>2023</v>
      </c>
      <c r="H112">
        <f>_xlfn.XLOOKUP($E112,parent_events!$B$2:$B$56,parent_events!$E$2:$E$56,"NA")</f>
        <v>6</v>
      </c>
      <c r="I112">
        <f>_xlfn.XLOOKUP($E112,parent_events!$B$2:$B$56,parent_events!$F$2:$F$56,"NA")</f>
        <v>21</v>
      </c>
      <c r="J112">
        <f>_xlfn.XLOOKUP($E112,parent_events!$B$2:$B$56,parent_events!$G$2:$G$56,"NA")</f>
        <v>4</v>
      </c>
      <c r="K112" t="str">
        <f>_xlfn.XLOOKUP($E112,parent_events!$B$2:$B$56,parent_events!$H$2:$H$56,"NA")</f>
        <v>Rot (1 min)</v>
      </c>
      <c r="L112" t="str">
        <f>_xlfn.XLOOKUP($E112,parent_events!$B$2:$B$56,parent_events!$I$2:$I$56,"NA")</f>
        <v>"5 replicates of 1 minute kick samples"</v>
      </c>
      <c r="M112">
        <f>_xlfn.XLOOKUP($E112,parent_events!$B$2:$B$56,parent_events!$J$2:$J$56,"NA")</f>
        <v>1</v>
      </c>
      <c r="N112" s="23" t="str">
        <f>_xlfn.XLOOKUP($E112,parent_events!$B$2:$B$56,parent_events!$K$2:$K$56,"NA")</f>
        <v>decimalMinute</v>
      </c>
      <c r="P112" t="str">
        <f>_xlfn.XLOOKUP($E112,parent_events!$B$2:$B$56,parent_events!$L$2:$L$56,"NA")</f>
        <v>Gjoljavatnet_st1</v>
      </c>
      <c r="Q112" t="str">
        <f>_xlfn.XLOOKUP($P112,localities!$B$2:$B$49,localities!$C$2:$C$49,"NA")</f>
        <v>Gjøljavatnet</v>
      </c>
      <c r="R112">
        <f>_xlfn.XLOOKUP($P112,localities!$B$2:$B$49,localities!$D$2:$D$49,"NA")</f>
        <v>1</v>
      </c>
      <c r="S112">
        <f>_xlfn.XLOOKUP($P112,localities!$B$2:$B$49,localities!$E$2:$E$49,"NA")</f>
        <v>63.789260900000002</v>
      </c>
      <c r="T112">
        <f>_xlfn.XLOOKUP($P112,localities!$B$2:$B$49,localities!$F$2:$F$49,"NA")</f>
        <v>10.0251734</v>
      </c>
      <c r="U112" t="str">
        <f>_xlfn.XLOOKUP($P112,localities!$B$2:$B$49,localities!$G$2:$G$49,"NA")</f>
        <v>WGS84</v>
      </c>
      <c r="V112">
        <f>_xlfn.XLOOKUP($P112,localities!$B$2:$B$49,localities!$H$2:$H$49,"NA")</f>
        <v>5</v>
      </c>
      <c r="W112" t="str">
        <f>_xlfn.XLOOKUP($P112,localities!$B$2:$B$49,localities!$I$2:$I$49,"NA")</f>
        <v>NOR</v>
      </c>
      <c r="X112" t="str">
        <f>_xlfn.XLOOKUP($P112,localities!$B$2:$B$49,localities!$J$2:$J$49,"NA")</f>
        <v>Norway</v>
      </c>
      <c r="Y112" t="str">
        <f>_xlfn.XLOOKUP($P112,localities!$B$2:$B$49,localities!$K$2:$K$49,"NA")</f>
        <v>Sør-Trøndelag</v>
      </c>
      <c r="Z112" t="str">
        <f>_xlfn.XLOOKUP($P112,localities!$B$2:$B$49,localities!$L$2:$L$49,"NA")</f>
        <v>Indre Fosen</v>
      </c>
    </row>
    <row r="113" spans="2:26" x14ac:dyDescent="0.3">
      <c r="B113" t="s">
        <v>179</v>
      </c>
      <c r="C113" s="23">
        <v>1</v>
      </c>
      <c r="E113" t="s">
        <v>60</v>
      </c>
      <c r="F113" s="19">
        <f>_xlfn.XLOOKUP($E113,parent_events!$B$2:$B$56,parent_events!$C$2:$C$56,"NA")</f>
        <v>45098</v>
      </c>
      <c r="G113">
        <f>_xlfn.XLOOKUP($E113,parent_events!$B$2:$B$56,parent_events!$D$2:$D$56,"NA")</f>
        <v>2023</v>
      </c>
      <c r="H113">
        <f>_xlfn.XLOOKUP($E113,parent_events!$B$2:$B$56,parent_events!$E$2:$E$56,"NA")</f>
        <v>6</v>
      </c>
      <c r="I113">
        <f>_xlfn.XLOOKUP($E113,parent_events!$B$2:$B$56,parent_events!$F$2:$F$56,"NA")</f>
        <v>21</v>
      </c>
      <c r="J113">
        <f>_xlfn.XLOOKUP($E113,parent_events!$B$2:$B$56,parent_events!$G$2:$G$56,"NA")</f>
        <v>4</v>
      </c>
      <c r="K113" t="str">
        <f>_xlfn.XLOOKUP($E113,parent_events!$B$2:$B$56,parent_events!$H$2:$H$56,"NA")</f>
        <v>Rot (1 min)</v>
      </c>
      <c r="L113" t="str">
        <f>_xlfn.XLOOKUP($E113,parent_events!$B$2:$B$56,parent_events!$I$2:$I$56,"NA")</f>
        <v>"5 replicates of 1 minute kick samples"</v>
      </c>
      <c r="M113">
        <f>_xlfn.XLOOKUP($E113,parent_events!$B$2:$B$56,parent_events!$J$2:$J$56,"NA")</f>
        <v>1</v>
      </c>
      <c r="N113" s="23" t="str">
        <f>_xlfn.XLOOKUP($E113,parent_events!$B$2:$B$56,parent_events!$K$2:$K$56,"NA")</f>
        <v>decimalMinute</v>
      </c>
      <c r="P113" t="str">
        <f>_xlfn.XLOOKUP($E113,parent_events!$B$2:$B$56,parent_events!$L$2:$L$56,"NA")</f>
        <v>Roksetvatnet_st1</v>
      </c>
      <c r="Q113" t="str">
        <f>_xlfn.XLOOKUP($P113,localities!$B$2:$B$49,localities!$C$2:$C$49,"NA")</f>
        <v>Roksetvatnet</v>
      </c>
      <c r="R113">
        <f>_xlfn.XLOOKUP($P113,localities!$B$2:$B$49,localities!$D$2:$D$49,"NA")</f>
        <v>1</v>
      </c>
      <c r="S113">
        <f>_xlfn.XLOOKUP($P113,localities!$B$2:$B$49,localities!$E$2:$E$49,"NA")</f>
        <v>63.654024200000002</v>
      </c>
      <c r="T113">
        <f>_xlfn.XLOOKUP($P113,localities!$B$2:$B$49,localities!$F$2:$F$49,"NA")</f>
        <v>10.066431400000001</v>
      </c>
      <c r="U113" t="str">
        <f>_xlfn.XLOOKUP($P113,localities!$B$2:$B$49,localities!$G$2:$G$49,"NA")</f>
        <v>WGS84</v>
      </c>
      <c r="V113">
        <f>_xlfn.XLOOKUP($P113,localities!$B$2:$B$49,localities!$H$2:$H$49,"NA")</f>
        <v>5</v>
      </c>
      <c r="W113" t="str">
        <f>_xlfn.XLOOKUP($P113,localities!$B$2:$B$49,localities!$I$2:$I$49,"NA")</f>
        <v>NOR</v>
      </c>
      <c r="X113" t="str">
        <f>_xlfn.XLOOKUP($P113,localities!$B$2:$B$49,localities!$J$2:$J$49,"NA")</f>
        <v>Norway</v>
      </c>
      <c r="Y113" t="str">
        <f>_xlfn.XLOOKUP($P113,localities!$B$2:$B$49,localities!$K$2:$K$49,"NA")</f>
        <v>Sør-Trøndelag</v>
      </c>
      <c r="Z113" t="str">
        <f>_xlfn.XLOOKUP($P113,localities!$B$2:$B$49,localities!$L$2:$L$49,"NA")</f>
        <v>Indre Fosen</v>
      </c>
    </row>
    <row r="114" spans="2:26" x14ac:dyDescent="0.3">
      <c r="B114" t="s">
        <v>180</v>
      </c>
      <c r="C114" s="23">
        <v>2</v>
      </c>
      <c r="E114" t="s">
        <v>60</v>
      </c>
      <c r="F114" s="19">
        <f>_xlfn.XLOOKUP($E114,parent_events!$B$2:$B$56,parent_events!$C$2:$C$56,"NA")</f>
        <v>45098</v>
      </c>
      <c r="G114">
        <f>_xlfn.XLOOKUP($E114,parent_events!$B$2:$B$56,parent_events!$D$2:$D$56,"NA")</f>
        <v>2023</v>
      </c>
      <c r="H114">
        <f>_xlfn.XLOOKUP($E114,parent_events!$B$2:$B$56,parent_events!$E$2:$E$56,"NA")</f>
        <v>6</v>
      </c>
      <c r="I114">
        <f>_xlfn.XLOOKUP($E114,parent_events!$B$2:$B$56,parent_events!$F$2:$F$56,"NA")</f>
        <v>21</v>
      </c>
      <c r="J114">
        <f>_xlfn.XLOOKUP($E114,parent_events!$B$2:$B$56,parent_events!$G$2:$G$56,"NA")</f>
        <v>4</v>
      </c>
      <c r="K114" t="str">
        <f>_xlfn.XLOOKUP($E114,parent_events!$B$2:$B$56,parent_events!$H$2:$H$56,"NA")</f>
        <v>Rot (1 min)</v>
      </c>
      <c r="L114" t="str">
        <f>_xlfn.XLOOKUP($E114,parent_events!$B$2:$B$56,parent_events!$I$2:$I$56,"NA")</f>
        <v>"5 replicates of 1 minute kick samples"</v>
      </c>
      <c r="M114">
        <f>_xlfn.XLOOKUP($E114,parent_events!$B$2:$B$56,parent_events!$J$2:$J$56,"NA")</f>
        <v>1</v>
      </c>
      <c r="N114" s="23" t="str">
        <f>_xlfn.XLOOKUP($E114,parent_events!$B$2:$B$56,parent_events!$K$2:$K$56,"NA")</f>
        <v>decimalMinute</v>
      </c>
      <c r="P114" t="str">
        <f>_xlfn.XLOOKUP($E114,parent_events!$B$2:$B$56,parent_events!$L$2:$L$56,"NA")</f>
        <v>Roksetvatnet_st1</v>
      </c>
      <c r="Q114" t="str">
        <f>_xlfn.XLOOKUP($P114,localities!$B$2:$B$49,localities!$C$2:$C$49,"NA")</f>
        <v>Roksetvatnet</v>
      </c>
      <c r="R114">
        <f>_xlfn.XLOOKUP($P114,localities!$B$2:$B$49,localities!$D$2:$D$49,"NA")</f>
        <v>1</v>
      </c>
      <c r="S114">
        <f>_xlfn.XLOOKUP($P114,localities!$B$2:$B$49,localities!$E$2:$E$49,"NA")</f>
        <v>63.654024200000002</v>
      </c>
      <c r="T114">
        <f>_xlfn.XLOOKUP($P114,localities!$B$2:$B$49,localities!$F$2:$F$49,"NA")</f>
        <v>10.066431400000001</v>
      </c>
      <c r="U114" t="str">
        <f>_xlfn.XLOOKUP($P114,localities!$B$2:$B$49,localities!$G$2:$G$49,"NA")</f>
        <v>WGS84</v>
      </c>
      <c r="V114">
        <f>_xlfn.XLOOKUP($P114,localities!$B$2:$B$49,localities!$H$2:$H$49,"NA")</f>
        <v>5</v>
      </c>
      <c r="W114" t="str">
        <f>_xlfn.XLOOKUP($P114,localities!$B$2:$B$49,localities!$I$2:$I$49,"NA")</f>
        <v>NOR</v>
      </c>
      <c r="X114" t="str">
        <f>_xlfn.XLOOKUP($P114,localities!$B$2:$B$49,localities!$J$2:$J$49,"NA")</f>
        <v>Norway</v>
      </c>
      <c r="Y114" t="str">
        <f>_xlfn.XLOOKUP($P114,localities!$B$2:$B$49,localities!$K$2:$K$49,"NA")</f>
        <v>Sør-Trøndelag</v>
      </c>
      <c r="Z114" t="str">
        <f>_xlfn.XLOOKUP($P114,localities!$B$2:$B$49,localities!$L$2:$L$49,"NA")</f>
        <v>Indre Fosen</v>
      </c>
    </row>
    <row r="115" spans="2:26" x14ac:dyDescent="0.3">
      <c r="B115" t="s">
        <v>181</v>
      </c>
      <c r="C115" s="23">
        <v>3</v>
      </c>
      <c r="E115" t="s">
        <v>60</v>
      </c>
      <c r="F115" s="19">
        <f>_xlfn.XLOOKUP($E115,parent_events!$B$2:$B$56,parent_events!$C$2:$C$56,"NA")</f>
        <v>45098</v>
      </c>
      <c r="G115">
        <f>_xlfn.XLOOKUP($E115,parent_events!$B$2:$B$56,parent_events!$D$2:$D$56,"NA")</f>
        <v>2023</v>
      </c>
      <c r="H115">
        <f>_xlfn.XLOOKUP($E115,parent_events!$B$2:$B$56,parent_events!$E$2:$E$56,"NA")</f>
        <v>6</v>
      </c>
      <c r="I115">
        <f>_xlfn.XLOOKUP($E115,parent_events!$B$2:$B$56,parent_events!$F$2:$F$56,"NA")</f>
        <v>21</v>
      </c>
      <c r="J115">
        <f>_xlfn.XLOOKUP($E115,parent_events!$B$2:$B$56,parent_events!$G$2:$G$56,"NA")</f>
        <v>4</v>
      </c>
      <c r="K115" t="str">
        <f>_xlfn.XLOOKUP($E115,parent_events!$B$2:$B$56,parent_events!$H$2:$H$56,"NA")</f>
        <v>Rot (1 min)</v>
      </c>
      <c r="L115" t="str">
        <f>_xlfn.XLOOKUP($E115,parent_events!$B$2:$B$56,parent_events!$I$2:$I$56,"NA")</f>
        <v>"5 replicates of 1 minute kick samples"</v>
      </c>
      <c r="M115">
        <f>_xlfn.XLOOKUP($E115,parent_events!$B$2:$B$56,parent_events!$J$2:$J$56,"NA")</f>
        <v>1</v>
      </c>
      <c r="N115" s="23" t="str">
        <f>_xlfn.XLOOKUP($E115,parent_events!$B$2:$B$56,parent_events!$K$2:$K$56,"NA")</f>
        <v>decimalMinute</v>
      </c>
      <c r="P115" t="str">
        <f>_xlfn.XLOOKUP($E115,parent_events!$B$2:$B$56,parent_events!$L$2:$L$56,"NA")</f>
        <v>Roksetvatnet_st1</v>
      </c>
      <c r="Q115" t="str">
        <f>_xlfn.XLOOKUP($P115,localities!$B$2:$B$49,localities!$C$2:$C$49,"NA")</f>
        <v>Roksetvatnet</v>
      </c>
      <c r="R115">
        <f>_xlfn.XLOOKUP($P115,localities!$B$2:$B$49,localities!$D$2:$D$49,"NA")</f>
        <v>1</v>
      </c>
      <c r="S115">
        <f>_xlfn.XLOOKUP($P115,localities!$B$2:$B$49,localities!$E$2:$E$49,"NA")</f>
        <v>63.654024200000002</v>
      </c>
      <c r="T115">
        <f>_xlfn.XLOOKUP($P115,localities!$B$2:$B$49,localities!$F$2:$F$49,"NA")</f>
        <v>10.066431400000001</v>
      </c>
      <c r="U115" t="str">
        <f>_xlfn.XLOOKUP($P115,localities!$B$2:$B$49,localities!$G$2:$G$49,"NA")</f>
        <v>WGS84</v>
      </c>
      <c r="V115">
        <f>_xlfn.XLOOKUP($P115,localities!$B$2:$B$49,localities!$H$2:$H$49,"NA")</f>
        <v>5</v>
      </c>
      <c r="W115" t="str">
        <f>_xlfn.XLOOKUP($P115,localities!$B$2:$B$49,localities!$I$2:$I$49,"NA")</f>
        <v>NOR</v>
      </c>
      <c r="X115" t="str">
        <f>_xlfn.XLOOKUP($P115,localities!$B$2:$B$49,localities!$J$2:$J$49,"NA")</f>
        <v>Norway</v>
      </c>
      <c r="Y115" t="str">
        <f>_xlfn.XLOOKUP($P115,localities!$B$2:$B$49,localities!$K$2:$K$49,"NA")</f>
        <v>Sør-Trøndelag</v>
      </c>
      <c r="Z115" t="str">
        <f>_xlfn.XLOOKUP($P115,localities!$B$2:$B$49,localities!$L$2:$L$49,"NA")</f>
        <v>Indre Fosen</v>
      </c>
    </row>
    <row r="116" spans="2:26" x14ac:dyDescent="0.3">
      <c r="B116" t="s">
        <v>182</v>
      </c>
      <c r="C116" s="23">
        <v>4</v>
      </c>
      <c r="E116" t="s">
        <v>60</v>
      </c>
      <c r="F116" s="19">
        <f>_xlfn.XLOOKUP($E116,parent_events!$B$2:$B$56,parent_events!$C$2:$C$56,"NA")</f>
        <v>45098</v>
      </c>
      <c r="G116">
        <f>_xlfn.XLOOKUP($E116,parent_events!$B$2:$B$56,parent_events!$D$2:$D$56,"NA")</f>
        <v>2023</v>
      </c>
      <c r="H116">
        <f>_xlfn.XLOOKUP($E116,parent_events!$B$2:$B$56,parent_events!$E$2:$E$56,"NA")</f>
        <v>6</v>
      </c>
      <c r="I116">
        <f>_xlfn.XLOOKUP($E116,parent_events!$B$2:$B$56,parent_events!$F$2:$F$56,"NA")</f>
        <v>21</v>
      </c>
      <c r="J116">
        <f>_xlfn.XLOOKUP($E116,parent_events!$B$2:$B$56,parent_events!$G$2:$G$56,"NA")</f>
        <v>4</v>
      </c>
      <c r="K116" t="str">
        <f>_xlfn.XLOOKUP($E116,parent_events!$B$2:$B$56,parent_events!$H$2:$H$56,"NA")</f>
        <v>Rot (1 min)</v>
      </c>
      <c r="L116" t="str">
        <f>_xlfn.XLOOKUP($E116,parent_events!$B$2:$B$56,parent_events!$I$2:$I$56,"NA")</f>
        <v>"5 replicates of 1 minute kick samples"</v>
      </c>
      <c r="M116">
        <f>_xlfn.XLOOKUP($E116,parent_events!$B$2:$B$56,parent_events!$J$2:$J$56,"NA")</f>
        <v>1</v>
      </c>
      <c r="N116" s="23" t="str">
        <f>_xlfn.XLOOKUP($E116,parent_events!$B$2:$B$56,parent_events!$K$2:$K$56,"NA")</f>
        <v>decimalMinute</v>
      </c>
      <c r="P116" t="str">
        <f>_xlfn.XLOOKUP($E116,parent_events!$B$2:$B$56,parent_events!$L$2:$L$56,"NA")</f>
        <v>Roksetvatnet_st1</v>
      </c>
      <c r="Q116" t="str">
        <f>_xlfn.XLOOKUP($P116,localities!$B$2:$B$49,localities!$C$2:$C$49,"NA")</f>
        <v>Roksetvatnet</v>
      </c>
      <c r="R116">
        <f>_xlfn.XLOOKUP($P116,localities!$B$2:$B$49,localities!$D$2:$D$49,"NA")</f>
        <v>1</v>
      </c>
      <c r="S116">
        <f>_xlfn.XLOOKUP($P116,localities!$B$2:$B$49,localities!$E$2:$E$49,"NA")</f>
        <v>63.654024200000002</v>
      </c>
      <c r="T116">
        <f>_xlfn.XLOOKUP($P116,localities!$B$2:$B$49,localities!$F$2:$F$49,"NA")</f>
        <v>10.066431400000001</v>
      </c>
      <c r="U116" t="str">
        <f>_xlfn.XLOOKUP($P116,localities!$B$2:$B$49,localities!$G$2:$G$49,"NA")</f>
        <v>WGS84</v>
      </c>
      <c r="V116">
        <f>_xlfn.XLOOKUP($P116,localities!$B$2:$B$49,localities!$H$2:$H$49,"NA")</f>
        <v>5</v>
      </c>
      <c r="W116" t="str">
        <f>_xlfn.XLOOKUP($P116,localities!$B$2:$B$49,localities!$I$2:$I$49,"NA")</f>
        <v>NOR</v>
      </c>
      <c r="X116" t="str">
        <f>_xlfn.XLOOKUP($P116,localities!$B$2:$B$49,localities!$J$2:$J$49,"NA")</f>
        <v>Norway</v>
      </c>
      <c r="Y116" t="str">
        <f>_xlfn.XLOOKUP($P116,localities!$B$2:$B$49,localities!$K$2:$K$49,"NA")</f>
        <v>Sør-Trøndelag</v>
      </c>
      <c r="Z116" t="str">
        <f>_xlfn.XLOOKUP($P116,localities!$B$2:$B$49,localities!$L$2:$L$49,"NA")</f>
        <v>Indre Fosen</v>
      </c>
    </row>
    <row r="117" spans="2:26" x14ac:dyDescent="0.3">
      <c r="B117" t="s">
        <v>183</v>
      </c>
      <c r="C117" s="23">
        <v>5</v>
      </c>
      <c r="E117" t="s">
        <v>60</v>
      </c>
      <c r="F117" s="19">
        <f>_xlfn.XLOOKUP($E117,parent_events!$B$2:$B$56,parent_events!$C$2:$C$56,"NA")</f>
        <v>45098</v>
      </c>
      <c r="G117">
        <f>_xlfn.XLOOKUP($E117,parent_events!$B$2:$B$56,parent_events!$D$2:$D$56,"NA")</f>
        <v>2023</v>
      </c>
      <c r="H117">
        <f>_xlfn.XLOOKUP($E117,parent_events!$B$2:$B$56,parent_events!$E$2:$E$56,"NA")</f>
        <v>6</v>
      </c>
      <c r="I117">
        <f>_xlfn.XLOOKUP($E117,parent_events!$B$2:$B$56,parent_events!$F$2:$F$56,"NA")</f>
        <v>21</v>
      </c>
      <c r="J117">
        <f>_xlfn.XLOOKUP($E117,parent_events!$B$2:$B$56,parent_events!$G$2:$G$56,"NA")</f>
        <v>4</v>
      </c>
      <c r="K117" t="str">
        <f>_xlfn.XLOOKUP($E117,parent_events!$B$2:$B$56,parent_events!$H$2:$H$56,"NA")</f>
        <v>Rot (1 min)</v>
      </c>
      <c r="L117" t="str">
        <f>_xlfn.XLOOKUP($E117,parent_events!$B$2:$B$56,parent_events!$I$2:$I$56,"NA")</f>
        <v>"5 replicates of 1 minute kick samples"</v>
      </c>
      <c r="M117">
        <f>_xlfn.XLOOKUP($E117,parent_events!$B$2:$B$56,parent_events!$J$2:$J$56,"NA")</f>
        <v>1</v>
      </c>
      <c r="N117" s="23" t="str">
        <f>_xlfn.XLOOKUP($E117,parent_events!$B$2:$B$56,parent_events!$K$2:$K$56,"NA")</f>
        <v>decimalMinute</v>
      </c>
      <c r="P117" t="str">
        <f>_xlfn.XLOOKUP($E117,parent_events!$B$2:$B$56,parent_events!$L$2:$L$56,"NA")</f>
        <v>Roksetvatnet_st1</v>
      </c>
      <c r="Q117" t="str">
        <f>_xlfn.XLOOKUP($P117,localities!$B$2:$B$49,localities!$C$2:$C$49,"NA")</f>
        <v>Roksetvatnet</v>
      </c>
      <c r="R117">
        <f>_xlfn.XLOOKUP($P117,localities!$B$2:$B$49,localities!$D$2:$D$49,"NA")</f>
        <v>1</v>
      </c>
      <c r="S117">
        <f>_xlfn.XLOOKUP($P117,localities!$B$2:$B$49,localities!$E$2:$E$49,"NA")</f>
        <v>63.654024200000002</v>
      </c>
      <c r="T117">
        <f>_xlfn.XLOOKUP($P117,localities!$B$2:$B$49,localities!$F$2:$F$49,"NA")</f>
        <v>10.066431400000001</v>
      </c>
      <c r="U117" t="str">
        <f>_xlfn.XLOOKUP($P117,localities!$B$2:$B$49,localities!$G$2:$G$49,"NA")</f>
        <v>WGS84</v>
      </c>
      <c r="V117">
        <f>_xlfn.XLOOKUP($P117,localities!$B$2:$B$49,localities!$H$2:$H$49,"NA")</f>
        <v>5</v>
      </c>
      <c r="W117" t="str">
        <f>_xlfn.XLOOKUP($P117,localities!$B$2:$B$49,localities!$I$2:$I$49,"NA")</f>
        <v>NOR</v>
      </c>
      <c r="X117" t="str">
        <f>_xlfn.XLOOKUP($P117,localities!$B$2:$B$49,localities!$J$2:$J$49,"NA")</f>
        <v>Norway</v>
      </c>
      <c r="Y117" t="str">
        <f>_xlfn.XLOOKUP($P117,localities!$B$2:$B$49,localities!$K$2:$K$49,"NA")</f>
        <v>Sør-Trøndelag</v>
      </c>
      <c r="Z117" t="str">
        <f>_xlfn.XLOOKUP($P117,localities!$B$2:$B$49,localities!$L$2:$L$49,"NA")</f>
        <v>Indre Fosen</v>
      </c>
    </row>
    <row r="118" spans="2:26" x14ac:dyDescent="0.3">
      <c r="B118" t="s">
        <v>184</v>
      </c>
      <c r="C118" s="23">
        <v>1</v>
      </c>
      <c r="E118" t="s">
        <v>61</v>
      </c>
      <c r="F118" s="19">
        <f>_xlfn.XLOOKUP($E118,parent_events!$B$2:$B$56,parent_events!$C$2:$C$56,"NA")</f>
        <v>45117</v>
      </c>
      <c r="G118">
        <f>_xlfn.XLOOKUP($E118,parent_events!$B$2:$B$56,parent_events!$D$2:$D$56,"NA")</f>
        <v>2023</v>
      </c>
      <c r="H118">
        <f>_xlfn.XLOOKUP($E118,parent_events!$B$2:$B$56,parent_events!$E$2:$E$56,"NA")</f>
        <v>7</v>
      </c>
      <c r="I118">
        <f>_xlfn.XLOOKUP($E118,parent_events!$B$2:$B$56,parent_events!$F$2:$F$56,"NA")</f>
        <v>10</v>
      </c>
      <c r="J118">
        <f>_xlfn.XLOOKUP($E118,parent_events!$B$2:$B$56,parent_events!$G$2:$G$56,"NA")</f>
        <v>5</v>
      </c>
      <c r="K118" t="str">
        <f>_xlfn.XLOOKUP($E118,parent_events!$B$2:$B$56,parent_events!$H$2:$H$56,"NA")</f>
        <v>Rot (1 min)</v>
      </c>
      <c r="L118" t="str">
        <f>_xlfn.XLOOKUP($E118,parent_events!$B$2:$B$56,parent_events!$I$2:$I$56,"NA")</f>
        <v>"5 replicates of 1 minute kick samples"</v>
      </c>
      <c r="M118">
        <f>_xlfn.XLOOKUP($E118,parent_events!$B$2:$B$56,parent_events!$J$2:$J$56,"NA")</f>
        <v>1</v>
      </c>
      <c r="N118" s="23" t="str">
        <f>_xlfn.XLOOKUP($E118,parent_events!$B$2:$B$56,parent_events!$K$2:$K$56,"NA")</f>
        <v>decimalMinute</v>
      </c>
      <c r="P118" t="str">
        <f>_xlfn.XLOOKUP($E118,parent_events!$B$2:$B$56,parent_events!$L$2:$L$56,"NA")</f>
        <v>Roksetvatnet_st1</v>
      </c>
      <c r="Q118" t="str">
        <f>_xlfn.XLOOKUP($P118,localities!$B$2:$B$49,localities!$C$2:$C$49,"NA")</f>
        <v>Roksetvatnet</v>
      </c>
      <c r="R118">
        <f>_xlfn.XLOOKUP($P118,localities!$B$2:$B$49,localities!$D$2:$D$49,"NA")</f>
        <v>1</v>
      </c>
      <c r="S118">
        <f>_xlfn.XLOOKUP($P118,localities!$B$2:$B$49,localities!$E$2:$E$49,"NA")</f>
        <v>63.654024200000002</v>
      </c>
      <c r="T118">
        <f>_xlfn.XLOOKUP($P118,localities!$B$2:$B$49,localities!$F$2:$F$49,"NA")</f>
        <v>10.066431400000001</v>
      </c>
      <c r="U118" t="str">
        <f>_xlfn.XLOOKUP($P118,localities!$B$2:$B$49,localities!$G$2:$G$49,"NA")</f>
        <v>WGS84</v>
      </c>
      <c r="V118">
        <f>_xlfn.XLOOKUP($P118,localities!$B$2:$B$49,localities!$H$2:$H$49,"NA")</f>
        <v>5</v>
      </c>
      <c r="W118" t="str">
        <f>_xlfn.XLOOKUP($P118,localities!$B$2:$B$49,localities!$I$2:$I$49,"NA")</f>
        <v>NOR</v>
      </c>
      <c r="X118" t="str">
        <f>_xlfn.XLOOKUP($P118,localities!$B$2:$B$49,localities!$J$2:$J$49,"NA")</f>
        <v>Norway</v>
      </c>
      <c r="Y118" t="str">
        <f>_xlfn.XLOOKUP($P118,localities!$B$2:$B$49,localities!$K$2:$K$49,"NA")</f>
        <v>Sør-Trøndelag</v>
      </c>
      <c r="Z118" t="str">
        <f>_xlfn.XLOOKUP($P118,localities!$B$2:$B$49,localities!$L$2:$L$49,"NA")</f>
        <v>Indre Fosen</v>
      </c>
    </row>
    <row r="119" spans="2:26" x14ac:dyDescent="0.3">
      <c r="B119" t="s">
        <v>185</v>
      </c>
      <c r="C119" s="23">
        <v>2</v>
      </c>
      <c r="E119" t="s">
        <v>61</v>
      </c>
      <c r="F119" s="19">
        <f>_xlfn.XLOOKUP($E119,parent_events!$B$2:$B$56,parent_events!$C$2:$C$56,"NA")</f>
        <v>45117</v>
      </c>
      <c r="G119">
        <f>_xlfn.XLOOKUP($E119,parent_events!$B$2:$B$56,parent_events!$D$2:$D$56,"NA")</f>
        <v>2023</v>
      </c>
      <c r="H119">
        <f>_xlfn.XLOOKUP($E119,parent_events!$B$2:$B$56,parent_events!$E$2:$E$56,"NA")</f>
        <v>7</v>
      </c>
      <c r="I119">
        <f>_xlfn.XLOOKUP($E119,parent_events!$B$2:$B$56,parent_events!$F$2:$F$56,"NA")</f>
        <v>10</v>
      </c>
      <c r="J119">
        <f>_xlfn.XLOOKUP($E119,parent_events!$B$2:$B$56,parent_events!$G$2:$G$56,"NA")</f>
        <v>5</v>
      </c>
      <c r="K119" t="str">
        <f>_xlfn.XLOOKUP($E119,parent_events!$B$2:$B$56,parent_events!$H$2:$H$56,"NA")</f>
        <v>Rot (1 min)</v>
      </c>
      <c r="L119" t="str">
        <f>_xlfn.XLOOKUP($E119,parent_events!$B$2:$B$56,parent_events!$I$2:$I$56,"NA")</f>
        <v>"5 replicates of 1 minute kick samples"</v>
      </c>
      <c r="M119">
        <f>_xlfn.XLOOKUP($E119,parent_events!$B$2:$B$56,parent_events!$J$2:$J$56,"NA")</f>
        <v>1</v>
      </c>
      <c r="N119" s="23" t="str">
        <f>_xlfn.XLOOKUP($E119,parent_events!$B$2:$B$56,parent_events!$K$2:$K$56,"NA")</f>
        <v>decimalMinute</v>
      </c>
      <c r="P119" t="str">
        <f>_xlfn.XLOOKUP($E119,parent_events!$B$2:$B$56,parent_events!$L$2:$L$56,"NA")</f>
        <v>Roksetvatnet_st1</v>
      </c>
      <c r="Q119" t="str">
        <f>_xlfn.XLOOKUP($P119,localities!$B$2:$B$49,localities!$C$2:$C$49,"NA")</f>
        <v>Roksetvatnet</v>
      </c>
      <c r="R119">
        <f>_xlfn.XLOOKUP($P119,localities!$B$2:$B$49,localities!$D$2:$D$49,"NA")</f>
        <v>1</v>
      </c>
      <c r="S119">
        <f>_xlfn.XLOOKUP($P119,localities!$B$2:$B$49,localities!$E$2:$E$49,"NA")</f>
        <v>63.654024200000002</v>
      </c>
      <c r="T119">
        <f>_xlfn.XLOOKUP($P119,localities!$B$2:$B$49,localities!$F$2:$F$49,"NA")</f>
        <v>10.066431400000001</v>
      </c>
      <c r="U119" t="str">
        <f>_xlfn.XLOOKUP($P119,localities!$B$2:$B$49,localities!$G$2:$G$49,"NA")</f>
        <v>WGS84</v>
      </c>
      <c r="V119">
        <f>_xlfn.XLOOKUP($P119,localities!$B$2:$B$49,localities!$H$2:$H$49,"NA")</f>
        <v>5</v>
      </c>
      <c r="W119" t="str">
        <f>_xlfn.XLOOKUP($P119,localities!$B$2:$B$49,localities!$I$2:$I$49,"NA")</f>
        <v>NOR</v>
      </c>
      <c r="X119" t="str">
        <f>_xlfn.XLOOKUP($P119,localities!$B$2:$B$49,localities!$J$2:$J$49,"NA")</f>
        <v>Norway</v>
      </c>
      <c r="Y119" t="str">
        <f>_xlfn.XLOOKUP($P119,localities!$B$2:$B$49,localities!$K$2:$K$49,"NA")</f>
        <v>Sør-Trøndelag</v>
      </c>
      <c r="Z119" t="str">
        <f>_xlfn.XLOOKUP($P119,localities!$B$2:$B$49,localities!$L$2:$L$49,"NA")</f>
        <v>Indre Fosen</v>
      </c>
    </row>
    <row r="120" spans="2:26" x14ac:dyDescent="0.3">
      <c r="B120" t="s">
        <v>186</v>
      </c>
      <c r="C120" s="23">
        <v>3</v>
      </c>
      <c r="E120" t="s">
        <v>61</v>
      </c>
      <c r="F120" s="19">
        <f>_xlfn.XLOOKUP($E120,parent_events!$B$2:$B$56,parent_events!$C$2:$C$56,"NA")</f>
        <v>45117</v>
      </c>
      <c r="G120">
        <f>_xlfn.XLOOKUP($E120,parent_events!$B$2:$B$56,parent_events!$D$2:$D$56,"NA")</f>
        <v>2023</v>
      </c>
      <c r="H120">
        <f>_xlfn.XLOOKUP($E120,parent_events!$B$2:$B$56,parent_events!$E$2:$E$56,"NA")</f>
        <v>7</v>
      </c>
      <c r="I120">
        <f>_xlfn.XLOOKUP($E120,parent_events!$B$2:$B$56,parent_events!$F$2:$F$56,"NA")</f>
        <v>10</v>
      </c>
      <c r="J120">
        <f>_xlfn.XLOOKUP($E120,parent_events!$B$2:$B$56,parent_events!$G$2:$G$56,"NA")</f>
        <v>5</v>
      </c>
      <c r="K120" t="str">
        <f>_xlfn.XLOOKUP($E120,parent_events!$B$2:$B$56,parent_events!$H$2:$H$56,"NA")</f>
        <v>Rot (1 min)</v>
      </c>
      <c r="L120" t="str">
        <f>_xlfn.XLOOKUP($E120,parent_events!$B$2:$B$56,parent_events!$I$2:$I$56,"NA")</f>
        <v>"5 replicates of 1 minute kick samples"</v>
      </c>
      <c r="M120">
        <f>_xlfn.XLOOKUP($E120,parent_events!$B$2:$B$56,parent_events!$J$2:$J$56,"NA")</f>
        <v>1</v>
      </c>
      <c r="N120" s="23" t="str">
        <f>_xlfn.XLOOKUP($E120,parent_events!$B$2:$B$56,parent_events!$K$2:$K$56,"NA")</f>
        <v>decimalMinute</v>
      </c>
      <c r="P120" t="str">
        <f>_xlfn.XLOOKUP($E120,parent_events!$B$2:$B$56,parent_events!$L$2:$L$56,"NA")</f>
        <v>Roksetvatnet_st1</v>
      </c>
      <c r="Q120" t="str">
        <f>_xlfn.XLOOKUP($P120,localities!$B$2:$B$49,localities!$C$2:$C$49,"NA")</f>
        <v>Roksetvatnet</v>
      </c>
      <c r="R120">
        <f>_xlfn.XLOOKUP($P120,localities!$B$2:$B$49,localities!$D$2:$D$49,"NA")</f>
        <v>1</v>
      </c>
      <c r="S120">
        <f>_xlfn.XLOOKUP($P120,localities!$B$2:$B$49,localities!$E$2:$E$49,"NA")</f>
        <v>63.654024200000002</v>
      </c>
      <c r="T120">
        <f>_xlfn.XLOOKUP($P120,localities!$B$2:$B$49,localities!$F$2:$F$49,"NA")</f>
        <v>10.066431400000001</v>
      </c>
      <c r="U120" t="str">
        <f>_xlfn.XLOOKUP($P120,localities!$B$2:$B$49,localities!$G$2:$G$49,"NA")</f>
        <v>WGS84</v>
      </c>
      <c r="V120">
        <f>_xlfn.XLOOKUP($P120,localities!$B$2:$B$49,localities!$H$2:$H$49,"NA")</f>
        <v>5</v>
      </c>
      <c r="W120" t="str">
        <f>_xlfn.XLOOKUP($P120,localities!$B$2:$B$49,localities!$I$2:$I$49,"NA")</f>
        <v>NOR</v>
      </c>
      <c r="X120" t="str">
        <f>_xlfn.XLOOKUP($P120,localities!$B$2:$B$49,localities!$J$2:$J$49,"NA")</f>
        <v>Norway</v>
      </c>
      <c r="Y120" t="str">
        <f>_xlfn.XLOOKUP($P120,localities!$B$2:$B$49,localities!$K$2:$K$49,"NA")</f>
        <v>Sør-Trøndelag</v>
      </c>
      <c r="Z120" t="str">
        <f>_xlfn.XLOOKUP($P120,localities!$B$2:$B$49,localities!$L$2:$L$49,"NA")</f>
        <v>Indre Fosen</v>
      </c>
    </row>
    <row r="121" spans="2:26" x14ac:dyDescent="0.3">
      <c r="B121" t="s">
        <v>187</v>
      </c>
      <c r="C121" s="23">
        <v>4</v>
      </c>
      <c r="E121" t="s">
        <v>61</v>
      </c>
      <c r="F121" s="19">
        <f>_xlfn.XLOOKUP($E121,parent_events!$B$2:$B$56,parent_events!$C$2:$C$56,"NA")</f>
        <v>45117</v>
      </c>
      <c r="G121">
        <f>_xlfn.XLOOKUP($E121,parent_events!$B$2:$B$56,parent_events!$D$2:$D$56,"NA")</f>
        <v>2023</v>
      </c>
      <c r="H121">
        <f>_xlfn.XLOOKUP($E121,parent_events!$B$2:$B$56,parent_events!$E$2:$E$56,"NA")</f>
        <v>7</v>
      </c>
      <c r="I121">
        <f>_xlfn.XLOOKUP($E121,parent_events!$B$2:$B$56,parent_events!$F$2:$F$56,"NA")</f>
        <v>10</v>
      </c>
      <c r="J121">
        <f>_xlfn.XLOOKUP($E121,parent_events!$B$2:$B$56,parent_events!$G$2:$G$56,"NA")</f>
        <v>5</v>
      </c>
      <c r="K121" t="str">
        <f>_xlfn.XLOOKUP($E121,parent_events!$B$2:$B$56,parent_events!$H$2:$H$56,"NA")</f>
        <v>Rot (1 min)</v>
      </c>
      <c r="L121" t="str">
        <f>_xlfn.XLOOKUP($E121,parent_events!$B$2:$B$56,parent_events!$I$2:$I$56,"NA")</f>
        <v>"5 replicates of 1 minute kick samples"</v>
      </c>
      <c r="M121">
        <f>_xlfn.XLOOKUP($E121,parent_events!$B$2:$B$56,parent_events!$J$2:$J$56,"NA")</f>
        <v>1</v>
      </c>
      <c r="N121" s="23" t="str">
        <f>_xlfn.XLOOKUP($E121,parent_events!$B$2:$B$56,parent_events!$K$2:$K$56,"NA")</f>
        <v>decimalMinute</v>
      </c>
      <c r="P121" t="str">
        <f>_xlfn.XLOOKUP($E121,parent_events!$B$2:$B$56,parent_events!$L$2:$L$56,"NA")</f>
        <v>Roksetvatnet_st1</v>
      </c>
      <c r="Q121" t="str">
        <f>_xlfn.XLOOKUP($P121,localities!$B$2:$B$49,localities!$C$2:$C$49,"NA")</f>
        <v>Roksetvatnet</v>
      </c>
      <c r="R121">
        <f>_xlfn.XLOOKUP($P121,localities!$B$2:$B$49,localities!$D$2:$D$49,"NA")</f>
        <v>1</v>
      </c>
      <c r="S121">
        <f>_xlfn.XLOOKUP($P121,localities!$B$2:$B$49,localities!$E$2:$E$49,"NA")</f>
        <v>63.654024200000002</v>
      </c>
      <c r="T121">
        <f>_xlfn.XLOOKUP($P121,localities!$B$2:$B$49,localities!$F$2:$F$49,"NA")</f>
        <v>10.066431400000001</v>
      </c>
      <c r="U121" t="str">
        <f>_xlfn.XLOOKUP($P121,localities!$B$2:$B$49,localities!$G$2:$G$49,"NA")</f>
        <v>WGS84</v>
      </c>
      <c r="V121">
        <f>_xlfn.XLOOKUP($P121,localities!$B$2:$B$49,localities!$H$2:$H$49,"NA")</f>
        <v>5</v>
      </c>
      <c r="W121" t="str">
        <f>_xlfn.XLOOKUP($P121,localities!$B$2:$B$49,localities!$I$2:$I$49,"NA")</f>
        <v>NOR</v>
      </c>
      <c r="X121" t="str">
        <f>_xlfn.XLOOKUP($P121,localities!$B$2:$B$49,localities!$J$2:$J$49,"NA")</f>
        <v>Norway</v>
      </c>
      <c r="Y121" t="str">
        <f>_xlfn.XLOOKUP($P121,localities!$B$2:$B$49,localities!$K$2:$K$49,"NA")</f>
        <v>Sør-Trøndelag</v>
      </c>
      <c r="Z121" t="str">
        <f>_xlfn.XLOOKUP($P121,localities!$B$2:$B$49,localities!$L$2:$L$49,"NA")</f>
        <v>Indre Fosen</v>
      </c>
    </row>
    <row r="122" spans="2:26" x14ac:dyDescent="0.3">
      <c r="B122" t="s">
        <v>188</v>
      </c>
      <c r="C122" s="23">
        <v>5</v>
      </c>
      <c r="E122" t="s">
        <v>61</v>
      </c>
      <c r="F122" s="19">
        <f>_xlfn.XLOOKUP($E122,parent_events!$B$2:$B$56,parent_events!$C$2:$C$56,"NA")</f>
        <v>45117</v>
      </c>
      <c r="G122">
        <f>_xlfn.XLOOKUP($E122,parent_events!$B$2:$B$56,parent_events!$D$2:$D$56,"NA")</f>
        <v>2023</v>
      </c>
      <c r="H122">
        <f>_xlfn.XLOOKUP($E122,parent_events!$B$2:$B$56,parent_events!$E$2:$E$56,"NA")</f>
        <v>7</v>
      </c>
      <c r="I122">
        <f>_xlfn.XLOOKUP($E122,parent_events!$B$2:$B$56,parent_events!$F$2:$F$56,"NA")</f>
        <v>10</v>
      </c>
      <c r="J122">
        <f>_xlfn.XLOOKUP($E122,parent_events!$B$2:$B$56,parent_events!$G$2:$G$56,"NA")</f>
        <v>5</v>
      </c>
      <c r="K122" t="str">
        <f>_xlfn.XLOOKUP($E122,parent_events!$B$2:$B$56,parent_events!$H$2:$H$56,"NA")</f>
        <v>Rot (1 min)</v>
      </c>
      <c r="L122" t="str">
        <f>_xlfn.XLOOKUP($E122,parent_events!$B$2:$B$56,parent_events!$I$2:$I$56,"NA")</f>
        <v>"5 replicates of 1 minute kick samples"</v>
      </c>
      <c r="M122">
        <f>_xlfn.XLOOKUP($E122,parent_events!$B$2:$B$56,parent_events!$J$2:$J$56,"NA")</f>
        <v>1</v>
      </c>
      <c r="N122" s="23" t="str">
        <f>_xlfn.XLOOKUP($E122,parent_events!$B$2:$B$56,parent_events!$K$2:$K$56,"NA")</f>
        <v>decimalMinute</v>
      </c>
      <c r="P122" t="str">
        <f>_xlfn.XLOOKUP($E122,parent_events!$B$2:$B$56,parent_events!$L$2:$L$56,"NA")</f>
        <v>Roksetvatnet_st1</v>
      </c>
      <c r="Q122" t="str">
        <f>_xlfn.XLOOKUP($P122,localities!$B$2:$B$49,localities!$C$2:$C$49,"NA")</f>
        <v>Roksetvatnet</v>
      </c>
      <c r="R122">
        <f>_xlfn.XLOOKUP($P122,localities!$B$2:$B$49,localities!$D$2:$D$49,"NA")</f>
        <v>1</v>
      </c>
      <c r="S122">
        <f>_xlfn.XLOOKUP($P122,localities!$B$2:$B$49,localities!$E$2:$E$49,"NA")</f>
        <v>63.654024200000002</v>
      </c>
      <c r="T122">
        <f>_xlfn.XLOOKUP($P122,localities!$B$2:$B$49,localities!$F$2:$F$49,"NA")</f>
        <v>10.066431400000001</v>
      </c>
      <c r="U122" t="str">
        <f>_xlfn.XLOOKUP($P122,localities!$B$2:$B$49,localities!$G$2:$G$49,"NA")</f>
        <v>WGS84</v>
      </c>
      <c r="V122">
        <f>_xlfn.XLOOKUP($P122,localities!$B$2:$B$49,localities!$H$2:$H$49,"NA")</f>
        <v>5</v>
      </c>
      <c r="W122" t="str">
        <f>_xlfn.XLOOKUP($P122,localities!$B$2:$B$49,localities!$I$2:$I$49,"NA")</f>
        <v>NOR</v>
      </c>
      <c r="X122" t="str">
        <f>_xlfn.XLOOKUP($P122,localities!$B$2:$B$49,localities!$J$2:$J$49,"NA")</f>
        <v>Norway</v>
      </c>
      <c r="Y122" t="str">
        <f>_xlfn.XLOOKUP($P122,localities!$B$2:$B$49,localities!$K$2:$K$49,"NA")</f>
        <v>Sør-Trøndelag</v>
      </c>
      <c r="Z122" t="str">
        <f>_xlfn.XLOOKUP($P122,localities!$B$2:$B$49,localities!$L$2:$L$49,"NA")</f>
        <v>Indre Fosen</v>
      </c>
    </row>
    <row r="123" spans="2:26" x14ac:dyDescent="0.3">
      <c r="B123" t="s">
        <v>321</v>
      </c>
      <c r="C123" s="23">
        <v>1</v>
      </c>
      <c r="E123" t="s">
        <v>316</v>
      </c>
      <c r="F123" s="19">
        <f>_xlfn.XLOOKUP($E123,parent_events!$B$2:$B$56,parent_events!$C$2:$C$56,"NA")</f>
        <v>45190</v>
      </c>
      <c r="G123">
        <f>_xlfn.XLOOKUP($E123,parent_events!$B$2:$B$56,parent_events!$D$2:$D$56,"NA")</f>
        <v>2023</v>
      </c>
      <c r="H123">
        <f>_xlfn.XLOOKUP($E123,parent_events!$B$2:$B$56,parent_events!$E$2:$E$56,"NA")</f>
        <v>9</v>
      </c>
      <c r="I123">
        <f>_xlfn.XLOOKUP($E123,parent_events!$B$2:$B$56,parent_events!$F$2:$F$56,"NA")</f>
        <v>21</v>
      </c>
      <c r="J123">
        <f>_xlfn.XLOOKUP($E123,parent_events!$B$2:$B$56,parent_events!$G$2:$G$56,"NA")</f>
        <v>6</v>
      </c>
      <c r="K123" t="str">
        <f>_xlfn.XLOOKUP($E123,parent_events!$B$2:$B$56,parent_events!$H$2:$H$56,"NA")</f>
        <v>Rot (1 min)</v>
      </c>
      <c r="L123" t="str">
        <f>_xlfn.XLOOKUP($E123,parent_events!$B$2:$B$56,parent_events!$I$2:$I$56,"NA")</f>
        <v>"5 replicates of 1 minute kick samples"</v>
      </c>
      <c r="M123">
        <f>_xlfn.XLOOKUP($E123,parent_events!$B$2:$B$56,parent_events!$J$2:$J$56,"NA")</f>
        <v>1</v>
      </c>
      <c r="N123" s="23" t="str">
        <f>_xlfn.XLOOKUP($E123,parent_events!$B$2:$B$56,parent_events!$K$2:$K$56,"NA")</f>
        <v>decimalMinute</v>
      </c>
      <c r="P123" t="str">
        <f>_xlfn.XLOOKUP($E123,parent_events!$B$2:$B$56,parent_events!$L$2:$L$56,"NA")</f>
        <v>Kilvatnet_st1</v>
      </c>
      <c r="Q123" t="str">
        <f>_xlfn.XLOOKUP($P123,localities!$B$2:$B$49,localities!$C$2:$C$49,"NA")</f>
        <v>Kilvatnet</v>
      </c>
      <c r="R123">
        <f>_xlfn.XLOOKUP($P123,localities!$B$2:$B$49,localities!$D$2:$D$49,"NA")</f>
        <v>1</v>
      </c>
      <c r="S123">
        <f>_xlfn.XLOOKUP($P123,localities!$B$2:$B$49,localities!$E$2:$E$49,"NA")</f>
        <v>63.3447909</v>
      </c>
      <c r="T123">
        <f>_xlfn.XLOOKUP($P123,localities!$B$2:$B$49,localities!$F$2:$F$49,"NA")</f>
        <v>10.5500174</v>
      </c>
      <c r="U123" t="str">
        <f>_xlfn.XLOOKUP($P123,localities!$B$2:$B$49,localities!$G$2:$G$49,"NA")</f>
        <v>WGS84</v>
      </c>
      <c r="V123">
        <f>_xlfn.XLOOKUP($P123,localities!$B$2:$B$49,localities!$H$2:$H$49,"NA")</f>
        <v>5</v>
      </c>
      <c r="W123" t="str">
        <f>_xlfn.XLOOKUP($P123,localities!$B$2:$B$49,localities!$I$2:$I$49,"NA")</f>
        <v>NOR</v>
      </c>
      <c r="X123" t="str">
        <f>_xlfn.XLOOKUP($P123,localities!$B$2:$B$49,localities!$J$2:$J$49,"NA")</f>
        <v>Norway</v>
      </c>
      <c r="Y123" t="str">
        <f>_xlfn.XLOOKUP($P123,localities!$B$2:$B$49,localities!$K$2:$K$49,"NA")</f>
        <v>Sør-Trøndelag</v>
      </c>
      <c r="Z123" t="str">
        <f>_xlfn.XLOOKUP($P123,localities!$B$2:$B$49,localities!$L$2:$L$49,"NA")</f>
        <v>Trondheim</v>
      </c>
    </row>
    <row r="124" spans="2:26" x14ac:dyDescent="0.3">
      <c r="B124" t="s">
        <v>322</v>
      </c>
      <c r="C124" s="23">
        <v>2</v>
      </c>
      <c r="E124" t="s">
        <v>316</v>
      </c>
      <c r="F124" s="19">
        <f>_xlfn.XLOOKUP($E124,parent_events!$B$2:$B$56,parent_events!$C$2:$C$56,"NA")</f>
        <v>45190</v>
      </c>
      <c r="G124">
        <f>_xlfn.XLOOKUP($E124,parent_events!$B$2:$B$56,parent_events!$D$2:$D$56,"NA")</f>
        <v>2023</v>
      </c>
      <c r="H124">
        <f>_xlfn.XLOOKUP($E124,parent_events!$B$2:$B$56,parent_events!$E$2:$E$56,"NA")</f>
        <v>9</v>
      </c>
      <c r="I124">
        <f>_xlfn.XLOOKUP($E124,parent_events!$B$2:$B$56,parent_events!$F$2:$F$56,"NA")</f>
        <v>21</v>
      </c>
      <c r="J124">
        <f>_xlfn.XLOOKUP($E124,parent_events!$B$2:$B$56,parent_events!$G$2:$G$56,"NA")</f>
        <v>6</v>
      </c>
      <c r="K124" t="str">
        <f>_xlfn.XLOOKUP($E124,parent_events!$B$2:$B$56,parent_events!$H$2:$H$56,"NA")</f>
        <v>Rot (1 min)</v>
      </c>
      <c r="L124" t="str">
        <f>_xlfn.XLOOKUP($E124,parent_events!$B$2:$B$56,parent_events!$I$2:$I$56,"NA")</f>
        <v>"5 replicates of 1 minute kick samples"</v>
      </c>
      <c r="M124">
        <f>_xlfn.XLOOKUP($E124,parent_events!$B$2:$B$56,parent_events!$J$2:$J$56,"NA")</f>
        <v>1</v>
      </c>
      <c r="N124" s="23" t="str">
        <f>_xlfn.XLOOKUP($E124,parent_events!$B$2:$B$56,parent_events!$K$2:$K$56,"NA")</f>
        <v>decimalMinute</v>
      </c>
      <c r="P124" t="str">
        <f>_xlfn.XLOOKUP($E124,parent_events!$B$2:$B$56,parent_events!$L$2:$L$56,"NA")</f>
        <v>Kilvatnet_st1</v>
      </c>
      <c r="Q124" t="str">
        <f>_xlfn.XLOOKUP($P124,localities!$B$2:$B$49,localities!$C$2:$C$49,"NA")</f>
        <v>Kilvatnet</v>
      </c>
      <c r="R124">
        <f>_xlfn.XLOOKUP($P124,localities!$B$2:$B$49,localities!$D$2:$D$49,"NA")</f>
        <v>1</v>
      </c>
      <c r="S124">
        <f>_xlfn.XLOOKUP($P124,localities!$B$2:$B$49,localities!$E$2:$E$49,"NA")</f>
        <v>63.3447909</v>
      </c>
      <c r="T124">
        <f>_xlfn.XLOOKUP($P124,localities!$B$2:$B$49,localities!$F$2:$F$49,"NA")</f>
        <v>10.5500174</v>
      </c>
      <c r="U124" t="str">
        <f>_xlfn.XLOOKUP($P124,localities!$B$2:$B$49,localities!$G$2:$G$49,"NA")</f>
        <v>WGS84</v>
      </c>
      <c r="V124">
        <f>_xlfn.XLOOKUP($P124,localities!$B$2:$B$49,localities!$H$2:$H$49,"NA")</f>
        <v>5</v>
      </c>
      <c r="W124" t="str">
        <f>_xlfn.XLOOKUP($P124,localities!$B$2:$B$49,localities!$I$2:$I$49,"NA")</f>
        <v>NOR</v>
      </c>
      <c r="X124" t="str">
        <f>_xlfn.XLOOKUP($P124,localities!$B$2:$B$49,localities!$J$2:$J$49,"NA")</f>
        <v>Norway</v>
      </c>
      <c r="Y124" t="str">
        <f>_xlfn.XLOOKUP($P124,localities!$B$2:$B$49,localities!$K$2:$K$49,"NA")</f>
        <v>Sør-Trøndelag</v>
      </c>
      <c r="Z124" t="str">
        <f>_xlfn.XLOOKUP($P124,localities!$B$2:$B$49,localities!$L$2:$L$49,"NA")</f>
        <v>Trondheim</v>
      </c>
    </row>
    <row r="125" spans="2:26" x14ac:dyDescent="0.3">
      <c r="B125" t="s">
        <v>323</v>
      </c>
      <c r="C125" s="23">
        <v>3</v>
      </c>
      <c r="E125" t="s">
        <v>316</v>
      </c>
      <c r="F125" s="19">
        <f>_xlfn.XLOOKUP($E125,parent_events!$B$2:$B$56,parent_events!$C$2:$C$56,"NA")</f>
        <v>45190</v>
      </c>
      <c r="G125">
        <f>_xlfn.XLOOKUP($E125,parent_events!$B$2:$B$56,parent_events!$D$2:$D$56,"NA")</f>
        <v>2023</v>
      </c>
      <c r="H125">
        <f>_xlfn.XLOOKUP($E125,parent_events!$B$2:$B$56,parent_events!$E$2:$E$56,"NA")</f>
        <v>9</v>
      </c>
      <c r="I125">
        <f>_xlfn.XLOOKUP($E125,parent_events!$B$2:$B$56,parent_events!$F$2:$F$56,"NA")</f>
        <v>21</v>
      </c>
      <c r="J125">
        <f>_xlfn.XLOOKUP($E125,parent_events!$B$2:$B$56,parent_events!$G$2:$G$56,"NA")</f>
        <v>6</v>
      </c>
      <c r="K125" t="str">
        <f>_xlfn.XLOOKUP($E125,parent_events!$B$2:$B$56,parent_events!$H$2:$H$56,"NA")</f>
        <v>Rot (1 min)</v>
      </c>
      <c r="L125" t="str">
        <f>_xlfn.XLOOKUP($E125,parent_events!$B$2:$B$56,parent_events!$I$2:$I$56,"NA")</f>
        <v>"5 replicates of 1 minute kick samples"</v>
      </c>
      <c r="M125">
        <f>_xlfn.XLOOKUP($E125,parent_events!$B$2:$B$56,parent_events!$J$2:$J$56,"NA")</f>
        <v>1</v>
      </c>
      <c r="N125" s="23" t="str">
        <f>_xlfn.XLOOKUP($E125,parent_events!$B$2:$B$56,parent_events!$K$2:$K$56,"NA")</f>
        <v>decimalMinute</v>
      </c>
      <c r="P125" t="str">
        <f>_xlfn.XLOOKUP($E125,parent_events!$B$2:$B$56,parent_events!$L$2:$L$56,"NA")</f>
        <v>Kilvatnet_st1</v>
      </c>
      <c r="Q125" t="str">
        <f>_xlfn.XLOOKUP($P125,localities!$B$2:$B$49,localities!$C$2:$C$49,"NA")</f>
        <v>Kilvatnet</v>
      </c>
      <c r="R125">
        <f>_xlfn.XLOOKUP($P125,localities!$B$2:$B$49,localities!$D$2:$D$49,"NA")</f>
        <v>1</v>
      </c>
      <c r="S125">
        <f>_xlfn.XLOOKUP($P125,localities!$B$2:$B$49,localities!$E$2:$E$49,"NA")</f>
        <v>63.3447909</v>
      </c>
      <c r="T125">
        <f>_xlfn.XLOOKUP($P125,localities!$B$2:$B$49,localities!$F$2:$F$49,"NA")</f>
        <v>10.5500174</v>
      </c>
      <c r="U125" t="str">
        <f>_xlfn.XLOOKUP($P125,localities!$B$2:$B$49,localities!$G$2:$G$49,"NA")</f>
        <v>WGS84</v>
      </c>
      <c r="V125">
        <f>_xlfn.XLOOKUP($P125,localities!$B$2:$B$49,localities!$H$2:$H$49,"NA")</f>
        <v>5</v>
      </c>
      <c r="W125" t="str">
        <f>_xlfn.XLOOKUP($P125,localities!$B$2:$B$49,localities!$I$2:$I$49,"NA")</f>
        <v>NOR</v>
      </c>
      <c r="X125" t="str">
        <f>_xlfn.XLOOKUP($P125,localities!$B$2:$B$49,localities!$J$2:$J$49,"NA")</f>
        <v>Norway</v>
      </c>
      <c r="Y125" t="str">
        <f>_xlfn.XLOOKUP($P125,localities!$B$2:$B$49,localities!$K$2:$K$49,"NA")</f>
        <v>Sør-Trøndelag</v>
      </c>
      <c r="Z125" t="str">
        <f>_xlfn.XLOOKUP($P125,localities!$B$2:$B$49,localities!$L$2:$L$49,"NA")</f>
        <v>Trondheim</v>
      </c>
    </row>
    <row r="126" spans="2:26" x14ac:dyDescent="0.3">
      <c r="B126" t="s">
        <v>324</v>
      </c>
      <c r="C126" s="23">
        <v>4</v>
      </c>
      <c r="E126" t="s">
        <v>316</v>
      </c>
      <c r="F126" s="19">
        <f>_xlfn.XLOOKUP($E126,parent_events!$B$2:$B$56,parent_events!$C$2:$C$56,"NA")</f>
        <v>45190</v>
      </c>
      <c r="G126">
        <f>_xlfn.XLOOKUP($E126,parent_events!$B$2:$B$56,parent_events!$D$2:$D$56,"NA")</f>
        <v>2023</v>
      </c>
      <c r="H126">
        <f>_xlfn.XLOOKUP($E126,parent_events!$B$2:$B$56,parent_events!$E$2:$E$56,"NA")</f>
        <v>9</v>
      </c>
      <c r="I126">
        <f>_xlfn.XLOOKUP($E126,parent_events!$B$2:$B$56,parent_events!$F$2:$F$56,"NA")</f>
        <v>21</v>
      </c>
      <c r="J126">
        <f>_xlfn.XLOOKUP($E126,parent_events!$B$2:$B$56,parent_events!$G$2:$G$56,"NA")</f>
        <v>6</v>
      </c>
      <c r="K126" t="str">
        <f>_xlfn.XLOOKUP($E126,parent_events!$B$2:$B$56,parent_events!$H$2:$H$56,"NA")</f>
        <v>Rot (1 min)</v>
      </c>
      <c r="L126" t="str">
        <f>_xlfn.XLOOKUP($E126,parent_events!$B$2:$B$56,parent_events!$I$2:$I$56,"NA")</f>
        <v>"5 replicates of 1 minute kick samples"</v>
      </c>
      <c r="M126">
        <f>_xlfn.XLOOKUP($E126,parent_events!$B$2:$B$56,parent_events!$J$2:$J$56,"NA")</f>
        <v>1</v>
      </c>
      <c r="N126" s="23" t="str">
        <f>_xlfn.XLOOKUP($E126,parent_events!$B$2:$B$56,parent_events!$K$2:$K$56,"NA")</f>
        <v>decimalMinute</v>
      </c>
      <c r="P126" t="str">
        <f>_xlfn.XLOOKUP($E126,parent_events!$B$2:$B$56,parent_events!$L$2:$L$56,"NA")</f>
        <v>Kilvatnet_st1</v>
      </c>
      <c r="Q126" t="str">
        <f>_xlfn.XLOOKUP($P126,localities!$B$2:$B$49,localities!$C$2:$C$49,"NA")</f>
        <v>Kilvatnet</v>
      </c>
      <c r="R126">
        <f>_xlfn.XLOOKUP($P126,localities!$B$2:$B$49,localities!$D$2:$D$49,"NA")</f>
        <v>1</v>
      </c>
      <c r="S126">
        <f>_xlfn.XLOOKUP($P126,localities!$B$2:$B$49,localities!$E$2:$E$49,"NA")</f>
        <v>63.3447909</v>
      </c>
      <c r="T126">
        <f>_xlfn.XLOOKUP($P126,localities!$B$2:$B$49,localities!$F$2:$F$49,"NA")</f>
        <v>10.5500174</v>
      </c>
      <c r="U126" t="str">
        <f>_xlfn.XLOOKUP($P126,localities!$B$2:$B$49,localities!$G$2:$G$49,"NA")</f>
        <v>WGS84</v>
      </c>
      <c r="V126">
        <f>_xlfn.XLOOKUP($P126,localities!$B$2:$B$49,localities!$H$2:$H$49,"NA")</f>
        <v>5</v>
      </c>
      <c r="W126" t="str">
        <f>_xlfn.XLOOKUP($P126,localities!$B$2:$B$49,localities!$I$2:$I$49,"NA")</f>
        <v>NOR</v>
      </c>
      <c r="X126" t="str">
        <f>_xlfn.XLOOKUP($P126,localities!$B$2:$B$49,localities!$J$2:$J$49,"NA")</f>
        <v>Norway</v>
      </c>
      <c r="Y126" t="str">
        <f>_xlfn.XLOOKUP($P126,localities!$B$2:$B$49,localities!$K$2:$K$49,"NA")</f>
        <v>Sør-Trøndelag</v>
      </c>
      <c r="Z126" t="str">
        <f>_xlfn.XLOOKUP($P126,localities!$B$2:$B$49,localities!$L$2:$L$49,"NA")</f>
        <v>Trondheim</v>
      </c>
    </row>
    <row r="127" spans="2:26" x14ac:dyDescent="0.3">
      <c r="B127" t="s">
        <v>325</v>
      </c>
      <c r="C127" s="23">
        <v>5</v>
      </c>
      <c r="E127" t="s">
        <v>316</v>
      </c>
      <c r="F127" s="19">
        <f>_xlfn.XLOOKUP($E127,parent_events!$B$2:$B$56,parent_events!$C$2:$C$56,"NA")</f>
        <v>45190</v>
      </c>
      <c r="G127">
        <f>_xlfn.XLOOKUP($E127,parent_events!$B$2:$B$56,parent_events!$D$2:$D$56,"NA")</f>
        <v>2023</v>
      </c>
      <c r="H127">
        <f>_xlfn.XLOOKUP($E127,parent_events!$B$2:$B$56,parent_events!$E$2:$E$56,"NA")</f>
        <v>9</v>
      </c>
      <c r="I127">
        <f>_xlfn.XLOOKUP($E127,parent_events!$B$2:$B$56,parent_events!$F$2:$F$56,"NA")</f>
        <v>21</v>
      </c>
      <c r="J127">
        <f>_xlfn.XLOOKUP($E127,parent_events!$B$2:$B$56,parent_events!$G$2:$G$56,"NA")</f>
        <v>6</v>
      </c>
      <c r="K127" t="str">
        <f>_xlfn.XLOOKUP($E127,parent_events!$B$2:$B$56,parent_events!$H$2:$H$56,"NA")</f>
        <v>Rot (1 min)</v>
      </c>
      <c r="L127" t="str">
        <f>_xlfn.XLOOKUP($E127,parent_events!$B$2:$B$56,parent_events!$I$2:$I$56,"NA")</f>
        <v>"5 replicates of 1 minute kick samples"</v>
      </c>
      <c r="M127">
        <f>_xlfn.XLOOKUP($E127,parent_events!$B$2:$B$56,parent_events!$J$2:$J$56,"NA")</f>
        <v>1</v>
      </c>
      <c r="N127" s="23" t="str">
        <f>_xlfn.XLOOKUP($E127,parent_events!$B$2:$B$56,parent_events!$K$2:$K$56,"NA")</f>
        <v>decimalMinute</v>
      </c>
      <c r="P127" t="str">
        <f>_xlfn.XLOOKUP($E127,parent_events!$B$2:$B$56,parent_events!$L$2:$L$56,"NA")</f>
        <v>Kilvatnet_st1</v>
      </c>
      <c r="Q127" t="str">
        <f>_xlfn.XLOOKUP($P127,localities!$B$2:$B$49,localities!$C$2:$C$49,"NA")</f>
        <v>Kilvatnet</v>
      </c>
      <c r="R127">
        <f>_xlfn.XLOOKUP($P127,localities!$B$2:$B$49,localities!$D$2:$D$49,"NA")</f>
        <v>1</v>
      </c>
      <c r="S127">
        <f>_xlfn.XLOOKUP($P127,localities!$B$2:$B$49,localities!$E$2:$E$49,"NA")</f>
        <v>63.3447909</v>
      </c>
      <c r="T127">
        <f>_xlfn.XLOOKUP($P127,localities!$B$2:$B$49,localities!$F$2:$F$49,"NA")</f>
        <v>10.5500174</v>
      </c>
      <c r="U127" t="str">
        <f>_xlfn.XLOOKUP($P127,localities!$B$2:$B$49,localities!$G$2:$G$49,"NA")</f>
        <v>WGS84</v>
      </c>
      <c r="V127">
        <f>_xlfn.XLOOKUP($P127,localities!$B$2:$B$49,localities!$H$2:$H$49,"NA")</f>
        <v>5</v>
      </c>
      <c r="W127" t="str">
        <f>_xlfn.XLOOKUP($P127,localities!$B$2:$B$49,localities!$I$2:$I$49,"NA")</f>
        <v>NOR</v>
      </c>
      <c r="X127" t="str">
        <f>_xlfn.XLOOKUP($P127,localities!$B$2:$B$49,localities!$J$2:$J$49,"NA")</f>
        <v>Norway</v>
      </c>
      <c r="Y127" t="str">
        <f>_xlfn.XLOOKUP($P127,localities!$B$2:$B$49,localities!$K$2:$K$49,"NA")</f>
        <v>Sør-Trøndelag</v>
      </c>
      <c r="Z127" t="str">
        <f>_xlfn.XLOOKUP($P127,localities!$B$2:$B$49,localities!$L$2:$L$49,"NA")</f>
        <v>Trondheim</v>
      </c>
    </row>
    <row r="128" spans="2:26" x14ac:dyDescent="0.3">
      <c r="B128" t="s">
        <v>326</v>
      </c>
      <c r="C128" s="23">
        <v>1</v>
      </c>
      <c r="E128" t="s">
        <v>317</v>
      </c>
      <c r="F128" s="19">
        <f>_xlfn.XLOOKUP($E128,parent_events!$B$2:$B$56,parent_events!$C$2:$C$56,"NA")</f>
        <v>45190</v>
      </c>
      <c r="G128">
        <f>_xlfn.XLOOKUP($E128,parent_events!$B$2:$B$56,parent_events!$D$2:$D$56,"NA")</f>
        <v>2023</v>
      </c>
      <c r="H128">
        <f>_xlfn.XLOOKUP($E128,parent_events!$B$2:$B$56,parent_events!$E$2:$E$56,"NA")</f>
        <v>9</v>
      </c>
      <c r="I128">
        <f>_xlfn.XLOOKUP($E128,parent_events!$B$2:$B$56,parent_events!$F$2:$F$56,"NA")</f>
        <v>21</v>
      </c>
      <c r="J128">
        <f>_xlfn.XLOOKUP($E128,parent_events!$B$2:$B$56,parent_events!$G$2:$G$56,"NA")</f>
        <v>6</v>
      </c>
      <c r="K128" t="str">
        <f>_xlfn.XLOOKUP($E128,parent_events!$B$2:$B$56,parent_events!$H$2:$H$56,"NA")</f>
        <v>Rot (1 min)</v>
      </c>
      <c r="L128" t="str">
        <f>_xlfn.XLOOKUP($E128,parent_events!$B$2:$B$56,parent_events!$I$2:$I$56,"NA")</f>
        <v>"5 replicates of 1 minute kick samples"</v>
      </c>
      <c r="M128">
        <f>_xlfn.XLOOKUP($E128,parent_events!$B$2:$B$56,parent_events!$J$2:$J$56,"NA")</f>
        <v>1</v>
      </c>
      <c r="N128" s="23" t="str">
        <f>_xlfn.XLOOKUP($E128,parent_events!$B$2:$B$56,parent_events!$K$2:$K$56,"NA")</f>
        <v>decimalMinute</v>
      </c>
      <c r="P128" t="str">
        <f>_xlfn.XLOOKUP($E128,parent_events!$B$2:$B$56,parent_events!$L$2:$L$56,"NA")</f>
        <v>Stor-Drakstsjoen_st1</v>
      </c>
      <c r="Q128" t="str">
        <f>_xlfn.XLOOKUP($P128,localities!$B$2:$B$49,localities!$C$2:$C$49,"NA")</f>
        <v>Stor-Drakstsjøen</v>
      </c>
      <c r="R128">
        <f>_xlfn.XLOOKUP($P128,localities!$B$2:$B$49,localities!$D$2:$D$49,"NA")</f>
        <v>1</v>
      </c>
      <c r="S128">
        <f>_xlfn.XLOOKUP($P128,localities!$B$2:$B$49,localities!$E$2:$E$49,"NA")</f>
        <v>63.286461099999997</v>
      </c>
      <c r="T128">
        <f>_xlfn.XLOOKUP($P128,localities!$B$2:$B$49,localities!$F$2:$F$49,"NA")</f>
        <v>10.802471300000001</v>
      </c>
      <c r="U128" t="str">
        <f>_xlfn.XLOOKUP($P128,localities!$B$2:$B$49,localities!$G$2:$G$49,"NA")</f>
        <v>WGS84</v>
      </c>
      <c r="V128">
        <f>_xlfn.XLOOKUP($P128,localities!$B$2:$B$49,localities!$H$2:$H$49,"NA")</f>
        <v>5</v>
      </c>
      <c r="W128" t="str">
        <f>_xlfn.XLOOKUP($P128,localities!$B$2:$B$49,localities!$I$2:$I$49,"NA")</f>
        <v>NOR</v>
      </c>
      <c r="X128" t="str">
        <f>_xlfn.XLOOKUP($P128,localities!$B$2:$B$49,localities!$J$2:$J$49,"NA")</f>
        <v>Norway</v>
      </c>
      <c r="Y128" t="str">
        <f>_xlfn.XLOOKUP($P128,localities!$B$2:$B$49,localities!$K$2:$K$49,"NA")</f>
        <v>Sør-Trøndelag</v>
      </c>
      <c r="Z128" t="str">
        <f>_xlfn.XLOOKUP($P128,localities!$B$2:$B$49,localities!$L$2:$L$49,"NA")</f>
        <v>Selbu</v>
      </c>
    </row>
    <row r="129" spans="2:26" x14ac:dyDescent="0.3">
      <c r="B129" t="s">
        <v>327</v>
      </c>
      <c r="C129" s="23">
        <v>2</v>
      </c>
      <c r="E129" t="s">
        <v>317</v>
      </c>
      <c r="F129" s="19">
        <f>_xlfn.XLOOKUP($E129,parent_events!$B$2:$B$56,parent_events!$C$2:$C$56,"NA")</f>
        <v>45190</v>
      </c>
      <c r="G129">
        <f>_xlfn.XLOOKUP($E129,parent_events!$B$2:$B$56,parent_events!$D$2:$D$56,"NA")</f>
        <v>2023</v>
      </c>
      <c r="H129">
        <f>_xlfn.XLOOKUP($E129,parent_events!$B$2:$B$56,parent_events!$E$2:$E$56,"NA")</f>
        <v>9</v>
      </c>
      <c r="I129">
        <f>_xlfn.XLOOKUP($E129,parent_events!$B$2:$B$56,parent_events!$F$2:$F$56,"NA")</f>
        <v>21</v>
      </c>
      <c r="J129">
        <f>_xlfn.XLOOKUP($E129,parent_events!$B$2:$B$56,parent_events!$G$2:$G$56,"NA")</f>
        <v>6</v>
      </c>
      <c r="K129" t="str">
        <f>_xlfn.XLOOKUP($E129,parent_events!$B$2:$B$56,parent_events!$H$2:$H$56,"NA")</f>
        <v>Rot (1 min)</v>
      </c>
      <c r="L129" t="str">
        <f>_xlfn.XLOOKUP($E129,parent_events!$B$2:$B$56,parent_events!$I$2:$I$56,"NA")</f>
        <v>"5 replicates of 1 minute kick samples"</v>
      </c>
      <c r="M129">
        <f>_xlfn.XLOOKUP($E129,parent_events!$B$2:$B$56,parent_events!$J$2:$J$56,"NA")</f>
        <v>1</v>
      </c>
      <c r="N129" s="23" t="str">
        <f>_xlfn.XLOOKUP($E129,parent_events!$B$2:$B$56,parent_events!$K$2:$K$56,"NA")</f>
        <v>decimalMinute</v>
      </c>
      <c r="P129" t="str">
        <f>_xlfn.XLOOKUP($E129,parent_events!$B$2:$B$56,parent_events!$L$2:$L$56,"NA")</f>
        <v>Stor-Drakstsjoen_st1</v>
      </c>
      <c r="Q129" t="str">
        <f>_xlfn.XLOOKUP($P129,localities!$B$2:$B$49,localities!$C$2:$C$49,"NA")</f>
        <v>Stor-Drakstsjøen</v>
      </c>
      <c r="R129">
        <f>_xlfn.XLOOKUP($P129,localities!$B$2:$B$49,localities!$D$2:$D$49,"NA")</f>
        <v>1</v>
      </c>
      <c r="S129">
        <f>_xlfn.XLOOKUP($P129,localities!$B$2:$B$49,localities!$E$2:$E$49,"NA")</f>
        <v>63.286461099999997</v>
      </c>
      <c r="T129">
        <f>_xlfn.XLOOKUP($P129,localities!$B$2:$B$49,localities!$F$2:$F$49,"NA")</f>
        <v>10.802471300000001</v>
      </c>
      <c r="U129" t="str">
        <f>_xlfn.XLOOKUP($P129,localities!$B$2:$B$49,localities!$G$2:$G$49,"NA")</f>
        <v>WGS84</v>
      </c>
      <c r="V129">
        <f>_xlfn.XLOOKUP($P129,localities!$B$2:$B$49,localities!$H$2:$H$49,"NA")</f>
        <v>5</v>
      </c>
      <c r="W129" t="str">
        <f>_xlfn.XLOOKUP($P129,localities!$B$2:$B$49,localities!$I$2:$I$49,"NA")</f>
        <v>NOR</v>
      </c>
      <c r="X129" t="str">
        <f>_xlfn.XLOOKUP($P129,localities!$B$2:$B$49,localities!$J$2:$J$49,"NA")</f>
        <v>Norway</v>
      </c>
      <c r="Y129" t="str">
        <f>_xlfn.XLOOKUP($P129,localities!$B$2:$B$49,localities!$K$2:$K$49,"NA")</f>
        <v>Sør-Trøndelag</v>
      </c>
      <c r="Z129" t="str">
        <f>_xlfn.XLOOKUP($P129,localities!$B$2:$B$49,localities!$L$2:$L$49,"NA")</f>
        <v>Selbu</v>
      </c>
    </row>
    <row r="130" spans="2:26" x14ac:dyDescent="0.3">
      <c r="B130" t="s">
        <v>328</v>
      </c>
      <c r="C130" s="23">
        <v>3</v>
      </c>
      <c r="E130" t="s">
        <v>317</v>
      </c>
      <c r="F130" s="19">
        <f>_xlfn.XLOOKUP($E130,parent_events!$B$2:$B$56,parent_events!$C$2:$C$56,"NA")</f>
        <v>45190</v>
      </c>
      <c r="G130">
        <f>_xlfn.XLOOKUP($E130,parent_events!$B$2:$B$56,parent_events!$D$2:$D$56,"NA")</f>
        <v>2023</v>
      </c>
      <c r="H130">
        <f>_xlfn.XLOOKUP($E130,parent_events!$B$2:$B$56,parent_events!$E$2:$E$56,"NA")</f>
        <v>9</v>
      </c>
      <c r="I130">
        <f>_xlfn.XLOOKUP($E130,parent_events!$B$2:$B$56,parent_events!$F$2:$F$56,"NA")</f>
        <v>21</v>
      </c>
      <c r="J130">
        <f>_xlfn.XLOOKUP($E130,parent_events!$B$2:$B$56,parent_events!$G$2:$G$56,"NA")</f>
        <v>6</v>
      </c>
      <c r="K130" t="str">
        <f>_xlfn.XLOOKUP($E130,parent_events!$B$2:$B$56,parent_events!$H$2:$H$56,"NA")</f>
        <v>Rot (1 min)</v>
      </c>
      <c r="L130" t="str">
        <f>_xlfn.XLOOKUP($E130,parent_events!$B$2:$B$56,parent_events!$I$2:$I$56,"NA")</f>
        <v>"5 replicates of 1 minute kick samples"</v>
      </c>
      <c r="M130">
        <f>_xlfn.XLOOKUP($E130,parent_events!$B$2:$B$56,parent_events!$J$2:$J$56,"NA")</f>
        <v>1</v>
      </c>
      <c r="N130" s="23" t="str">
        <f>_xlfn.XLOOKUP($E130,parent_events!$B$2:$B$56,parent_events!$K$2:$K$56,"NA")</f>
        <v>decimalMinute</v>
      </c>
      <c r="P130" t="str">
        <f>_xlfn.XLOOKUP($E130,parent_events!$B$2:$B$56,parent_events!$L$2:$L$56,"NA")</f>
        <v>Stor-Drakstsjoen_st1</v>
      </c>
      <c r="Q130" t="str">
        <f>_xlfn.XLOOKUP($P130,localities!$B$2:$B$49,localities!$C$2:$C$49,"NA")</f>
        <v>Stor-Drakstsjøen</v>
      </c>
      <c r="R130">
        <f>_xlfn.XLOOKUP($P130,localities!$B$2:$B$49,localities!$D$2:$D$49,"NA")</f>
        <v>1</v>
      </c>
      <c r="S130">
        <f>_xlfn.XLOOKUP($P130,localities!$B$2:$B$49,localities!$E$2:$E$49,"NA")</f>
        <v>63.286461099999997</v>
      </c>
      <c r="T130">
        <f>_xlfn.XLOOKUP($P130,localities!$B$2:$B$49,localities!$F$2:$F$49,"NA")</f>
        <v>10.802471300000001</v>
      </c>
      <c r="U130" t="str">
        <f>_xlfn.XLOOKUP($P130,localities!$B$2:$B$49,localities!$G$2:$G$49,"NA")</f>
        <v>WGS84</v>
      </c>
      <c r="V130">
        <f>_xlfn.XLOOKUP($P130,localities!$B$2:$B$49,localities!$H$2:$H$49,"NA")</f>
        <v>5</v>
      </c>
      <c r="W130" t="str">
        <f>_xlfn.XLOOKUP($P130,localities!$B$2:$B$49,localities!$I$2:$I$49,"NA")</f>
        <v>NOR</v>
      </c>
      <c r="X130" t="str">
        <f>_xlfn.XLOOKUP($P130,localities!$B$2:$B$49,localities!$J$2:$J$49,"NA")</f>
        <v>Norway</v>
      </c>
      <c r="Y130" t="str">
        <f>_xlfn.XLOOKUP($P130,localities!$B$2:$B$49,localities!$K$2:$K$49,"NA")</f>
        <v>Sør-Trøndelag</v>
      </c>
      <c r="Z130" t="str">
        <f>_xlfn.XLOOKUP($P130,localities!$B$2:$B$49,localities!$L$2:$L$49,"NA")</f>
        <v>Selbu</v>
      </c>
    </row>
    <row r="131" spans="2:26" x14ac:dyDescent="0.3">
      <c r="B131" t="s">
        <v>329</v>
      </c>
      <c r="C131" s="23">
        <v>4</v>
      </c>
      <c r="E131" t="s">
        <v>317</v>
      </c>
      <c r="F131" s="19">
        <f>_xlfn.XLOOKUP($E131,parent_events!$B$2:$B$56,parent_events!$C$2:$C$56,"NA")</f>
        <v>45190</v>
      </c>
      <c r="G131">
        <f>_xlfn.XLOOKUP($E131,parent_events!$B$2:$B$56,parent_events!$D$2:$D$56,"NA")</f>
        <v>2023</v>
      </c>
      <c r="H131">
        <f>_xlfn.XLOOKUP($E131,parent_events!$B$2:$B$56,parent_events!$E$2:$E$56,"NA")</f>
        <v>9</v>
      </c>
      <c r="I131">
        <f>_xlfn.XLOOKUP($E131,parent_events!$B$2:$B$56,parent_events!$F$2:$F$56,"NA")</f>
        <v>21</v>
      </c>
      <c r="J131">
        <f>_xlfn.XLOOKUP($E131,parent_events!$B$2:$B$56,parent_events!$G$2:$G$56,"NA")</f>
        <v>6</v>
      </c>
      <c r="K131" t="str">
        <f>_xlfn.XLOOKUP($E131,parent_events!$B$2:$B$56,parent_events!$H$2:$H$56,"NA")</f>
        <v>Rot (1 min)</v>
      </c>
      <c r="L131" t="str">
        <f>_xlfn.XLOOKUP($E131,parent_events!$B$2:$B$56,parent_events!$I$2:$I$56,"NA")</f>
        <v>"5 replicates of 1 minute kick samples"</v>
      </c>
      <c r="M131">
        <f>_xlfn.XLOOKUP($E131,parent_events!$B$2:$B$56,parent_events!$J$2:$J$56,"NA")</f>
        <v>1</v>
      </c>
      <c r="N131" s="23" t="str">
        <f>_xlfn.XLOOKUP($E131,parent_events!$B$2:$B$56,parent_events!$K$2:$K$56,"NA")</f>
        <v>decimalMinute</v>
      </c>
      <c r="P131" t="str">
        <f>_xlfn.XLOOKUP($E131,parent_events!$B$2:$B$56,parent_events!$L$2:$L$56,"NA")</f>
        <v>Stor-Drakstsjoen_st1</v>
      </c>
      <c r="Q131" t="str">
        <f>_xlfn.XLOOKUP($P131,localities!$B$2:$B$49,localities!$C$2:$C$49,"NA")</f>
        <v>Stor-Drakstsjøen</v>
      </c>
      <c r="R131">
        <f>_xlfn.XLOOKUP($P131,localities!$B$2:$B$49,localities!$D$2:$D$49,"NA")</f>
        <v>1</v>
      </c>
      <c r="S131">
        <f>_xlfn.XLOOKUP($P131,localities!$B$2:$B$49,localities!$E$2:$E$49,"NA")</f>
        <v>63.286461099999997</v>
      </c>
      <c r="T131">
        <f>_xlfn.XLOOKUP($P131,localities!$B$2:$B$49,localities!$F$2:$F$49,"NA")</f>
        <v>10.802471300000001</v>
      </c>
      <c r="U131" t="str">
        <f>_xlfn.XLOOKUP($P131,localities!$B$2:$B$49,localities!$G$2:$G$49,"NA")</f>
        <v>WGS84</v>
      </c>
      <c r="V131">
        <f>_xlfn.XLOOKUP($P131,localities!$B$2:$B$49,localities!$H$2:$H$49,"NA")</f>
        <v>5</v>
      </c>
      <c r="W131" t="str">
        <f>_xlfn.XLOOKUP($P131,localities!$B$2:$B$49,localities!$I$2:$I$49,"NA")</f>
        <v>NOR</v>
      </c>
      <c r="X131" t="str">
        <f>_xlfn.XLOOKUP($P131,localities!$B$2:$B$49,localities!$J$2:$J$49,"NA")</f>
        <v>Norway</v>
      </c>
      <c r="Y131" t="str">
        <f>_xlfn.XLOOKUP($P131,localities!$B$2:$B$49,localities!$K$2:$K$49,"NA")</f>
        <v>Sør-Trøndelag</v>
      </c>
      <c r="Z131" t="str">
        <f>_xlfn.XLOOKUP($P131,localities!$B$2:$B$49,localities!$L$2:$L$49,"NA")</f>
        <v>Selbu</v>
      </c>
    </row>
    <row r="132" spans="2:26" x14ac:dyDescent="0.3">
      <c r="B132" t="s">
        <v>330</v>
      </c>
      <c r="C132" s="23">
        <v>5</v>
      </c>
      <c r="E132" t="s">
        <v>317</v>
      </c>
      <c r="F132" s="19">
        <f>_xlfn.XLOOKUP($E132,parent_events!$B$2:$B$56,parent_events!$C$2:$C$56,"NA")</f>
        <v>45190</v>
      </c>
      <c r="G132">
        <f>_xlfn.XLOOKUP($E132,parent_events!$B$2:$B$56,parent_events!$D$2:$D$56,"NA")</f>
        <v>2023</v>
      </c>
      <c r="H132">
        <f>_xlfn.XLOOKUP($E132,parent_events!$B$2:$B$56,parent_events!$E$2:$E$56,"NA")</f>
        <v>9</v>
      </c>
      <c r="I132">
        <f>_xlfn.XLOOKUP($E132,parent_events!$B$2:$B$56,parent_events!$F$2:$F$56,"NA")</f>
        <v>21</v>
      </c>
      <c r="J132">
        <f>_xlfn.XLOOKUP($E132,parent_events!$B$2:$B$56,parent_events!$G$2:$G$56,"NA")</f>
        <v>6</v>
      </c>
      <c r="K132" t="str">
        <f>_xlfn.XLOOKUP($E132,parent_events!$B$2:$B$56,parent_events!$H$2:$H$56,"NA")</f>
        <v>Rot (1 min)</v>
      </c>
      <c r="L132" t="str">
        <f>_xlfn.XLOOKUP($E132,parent_events!$B$2:$B$56,parent_events!$I$2:$I$56,"NA")</f>
        <v>"5 replicates of 1 minute kick samples"</v>
      </c>
      <c r="M132">
        <f>_xlfn.XLOOKUP($E132,parent_events!$B$2:$B$56,parent_events!$J$2:$J$56,"NA")</f>
        <v>1</v>
      </c>
      <c r="N132" s="23" t="str">
        <f>_xlfn.XLOOKUP($E132,parent_events!$B$2:$B$56,parent_events!$K$2:$K$56,"NA")</f>
        <v>decimalMinute</v>
      </c>
      <c r="P132" t="str">
        <f>_xlfn.XLOOKUP($E132,parent_events!$B$2:$B$56,parent_events!$L$2:$L$56,"NA")</f>
        <v>Stor-Drakstsjoen_st1</v>
      </c>
      <c r="Q132" t="str">
        <f>_xlfn.XLOOKUP($P132,localities!$B$2:$B$49,localities!$C$2:$C$49,"NA")</f>
        <v>Stor-Drakstsjøen</v>
      </c>
      <c r="R132">
        <f>_xlfn.XLOOKUP($P132,localities!$B$2:$B$49,localities!$D$2:$D$49,"NA")</f>
        <v>1</v>
      </c>
      <c r="S132">
        <f>_xlfn.XLOOKUP($P132,localities!$B$2:$B$49,localities!$E$2:$E$49,"NA")</f>
        <v>63.286461099999997</v>
      </c>
      <c r="T132">
        <f>_xlfn.XLOOKUP($P132,localities!$B$2:$B$49,localities!$F$2:$F$49,"NA")</f>
        <v>10.802471300000001</v>
      </c>
      <c r="U132" t="str">
        <f>_xlfn.XLOOKUP($P132,localities!$B$2:$B$49,localities!$G$2:$G$49,"NA")</f>
        <v>WGS84</v>
      </c>
      <c r="V132">
        <f>_xlfn.XLOOKUP($P132,localities!$B$2:$B$49,localities!$H$2:$H$49,"NA")</f>
        <v>5</v>
      </c>
      <c r="W132" t="str">
        <f>_xlfn.XLOOKUP($P132,localities!$B$2:$B$49,localities!$I$2:$I$49,"NA")</f>
        <v>NOR</v>
      </c>
      <c r="X132" t="str">
        <f>_xlfn.XLOOKUP($P132,localities!$B$2:$B$49,localities!$J$2:$J$49,"NA")</f>
        <v>Norway</v>
      </c>
      <c r="Y132" t="str">
        <f>_xlfn.XLOOKUP($P132,localities!$B$2:$B$49,localities!$K$2:$K$49,"NA")</f>
        <v>Sør-Trøndelag</v>
      </c>
      <c r="Z132" t="str">
        <f>_xlfn.XLOOKUP($P132,localities!$B$2:$B$49,localities!$L$2:$L$49,"NA")</f>
        <v>Selbu</v>
      </c>
    </row>
    <row r="133" spans="2:26" x14ac:dyDescent="0.3">
      <c r="B133" t="s">
        <v>331</v>
      </c>
      <c r="C133" s="23">
        <v>1</v>
      </c>
      <c r="E133" t="s">
        <v>315</v>
      </c>
      <c r="F133" s="19">
        <f>_xlfn.XLOOKUP($E133,parent_events!$B$2:$B$56,parent_events!$C$2:$C$56,"NA")</f>
        <v>45194</v>
      </c>
      <c r="G133">
        <f>_xlfn.XLOOKUP($E133,parent_events!$B$2:$B$56,parent_events!$D$2:$D$56,"NA")</f>
        <v>2023</v>
      </c>
      <c r="H133">
        <f>_xlfn.XLOOKUP($E133,parent_events!$B$2:$B$56,parent_events!$E$2:$E$56,"NA")</f>
        <v>9</v>
      </c>
      <c r="I133">
        <f>_xlfn.XLOOKUP($E133,parent_events!$B$2:$B$56,parent_events!$F$2:$F$56,"NA")</f>
        <v>25</v>
      </c>
      <c r="J133">
        <f>_xlfn.XLOOKUP($E133,parent_events!$B$2:$B$56,parent_events!$G$2:$G$56,"NA")</f>
        <v>6</v>
      </c>
      <c r="K133" t="str">
        <f>_xlfn.XLOOKUP($E133,parent_events!$B$2:$B$56,parent_events!$H$2:$H$56,"NA")</f>
        <v>Rot (1 min)</v>
      </c>
      <c r="L133" t="str">
        <f>_xlfn.XLOOKUP($E133,parent_events!$B$2:$B$56,parent_events!$I$2:$I$56,"NA")</f>
        <v>"5 replicates of 1 minute kick samples"</v>
      </c>
      <c r="M133">
        <f>_xlfn.XLOOKUP($E133,parent_events!$B$2:$B$56,parent_events!$J$2:$J$56,"NA")</f>
        <v>1</v>
      </c>
      <c r="N133" s="23" t="str">
        <f>_xlfn.XLOOKUP($E133,parent_events!$B$2:$B$56,parent_events!$K$2:$K$56,"NA")</f>
        <v>decimalMinute</v>
      </c>
      <c r="P133" t="str">
        <f>_xlfn.XLOOKUP($E133,parent_events!$B$2:$B$56,parent_events!$L$2:$L$56,"NA")</f>
        <v>Gjoljavatnet_st1</v>
      </c>
      <c r="Q133" t="str">
        <f>_xlfn.XLOOKUP($P133,localities!$B$2:$B$49,localities!$C$2:$C$49,"NA")</f>
        <v>Gjøljavatnet</v>
      </c>
      <c r="R133">
        <f>_xlfn.XLOOKUP($P133,localities!$B$2:$B$49,localities!$D$2:$D$49,"NA")</f>
        <v>1</v>
      </c>
      <c r="S133">
        <f>_xlfn.XLOOKUP($P133,localities!$B$2:$B$49,localities!$E$2:$E$49,"NA")</f>
        <v>63.789260900000002</v>
      </c>
      <c r="T133">
        <f>_xlfn.XLOOKUP($P133,localities!$B$2:$B$49,localities!$F$2:$F$49,"NA")</f>
        <v>10.0251734</v>
      </c>
      <c r="U133" t="str">
        <f>_xlfn.XLOOKUP($P133,localities!$B$2:$B$49,localities!$G$2:$G$49,"NA")</f>
        <v>WGS84</v>
      </c>
      <c r="V133">
        <f>_xlfn.XLOOKUP($P133,localities!$B$2:$B$49,localities!$H$2:$H$49,"NA")</f>
        <v>5</v>
      </c>
      <c r="W133" t="str">
        <f>_xlfn.XLOOKUP($P133,localities!$B$2:$B$49,localities!$I$2:$I$49,"NA")</f>
        <v>NOR</v>
      </c>
      <c r="X133" t="str">
        <f>_xlfn.XLOOKUP($P133,localities!$B$2:$B$49,localities!$J$2:$J$49,"NA")</f>
        <v>Norway</v>
      </c>
      <c r="Y133" t="str">
        <f>_xlfn.XLOOKUP($P133,localities!$B$2:$B$49,localities!$K$2:$K$49,"NA")</f>
        <v>Sør-Trøndelag</v>
      </c>
      <c r="Z133" t="str">
        <f>_xlfn.XLOOKUP($P133,localities!$B$2:$B$49,localities!$L$2:$L$49,"NA")</f>
        <v>Indre Fosen</v>
      </c>
    </row>
    <row r="134" spans="2:26" x14ac:dyDescent="0.3">
      <c r="B134" t="s">
        <v>332</v>
      </c>
      <c r="C134" s="23">
        <v>2</v>
      </c>
      <c r="E134" t="s">
        <v>315</v>
      </c>
      <c r="F134" s="19">
        <f>_xlfn.XLOOKUP($E134,parent_events!$B$2:$B$56,parent_events!$C$2:$C$56,"NA")</f>
        <v>45194</v>
      </c>
      <c r="G134">
        <f>_xlfn.XLOOKUP($E134,parent_events!$B$2:$B$56,parent_events!$D$2:$D$56,"NA")</f>
        <v>2023</v>
      </c>
      <c r="H134">
        <f>_xlfn.XLOOKUP($E134,parent_events!$B$2:$B$56,parent_events!$E$2:$E$56,"NA")</f>
        <v>9</v>
      </c>
      <c r="I134">
        <f>_xlfn.XLOOKUP($E134,parent_events!$B$2:$B$56,parent_events!$F$2:$F$56,"NA")</f>
        <v>25</v>
      </c>
      <c r="J134">
        <f>_xlfn.XLOOKUP($E134,parent_events!$B$2:$B$56,parent_events!$G$2:$G$56,"NA")</f>
        <v>6</v>
      </c>
      <c r="K134" t="str">
        <f>_xlfn.XLOOKUP($E134,parent_events!$B$2:$B$56,parent_events!$H$2:$H$56,"NA")</f>
        <v>Rot (1 min)</v>
      </c>
      <c r="L134" t="str">
        <f>_xlfn.XLOOKUP($E134,parent_events!$B$2:$B$56,parent_events!$I$2:$I$56,"NA")</f>
        <v>"5 replicates of 1 minute kick samples"</v>
      </c>
      <c r="M134">
        <f>_xlfn.XLOOKUP($E134,parent_events!$B$2:$B$56,parent_events!$J$2:$J$56,"NA")</f>
        <v>1</v>
      </c>
      <c r="N134" s="23" t="str">
        <f>_xlfn.XLOOKUP($E134,parent_events!$B$2:$B$56,parent_events!$K$2:$K$56,"NA")</f>
        <v>decimalMinute</v>
      </c>
      <c r="P134" t="str">
        <f>_xlfn.XLOOKUP($E134,parent_events!$B$2:$B$56,parent_events!$L$2:$L$56,"NA")</f>
        <v>Gjoljavatnet_st1</v>
      </c>
      <c r="Q134" t="str">
        <f>_xlfn.XLOOKUP($P134,localities!$B$2:$B$49,localities!$C$2:$C$49,"NA")</f>
        <v>Gjøljavatnet</v>
      </c>
      <c r="R134">
        <f>_xlfn.XLOOKUP($P134,localities!$B$2:$B$49,localities!$D$2:$D$49,"NA")</f>
        <v>1</v>
      </c>
      <c r="S134">
        <f>_xlfn.XLOOKUP($P134,localities!$B$2:$B$49,localities!$E$2:$E$49,"NA")</f>
        <v>63.789260900000002</v>
      </c>
      <c r="T134">
        <f>_xlfn.XLOOKUP($P134,localities!$B$2:$B$49,localities!$F$2:$F$49,"NA")</f>
        <v>10.0251734</v>
      </c>
      <c r="U134" t="str">
        <f>_xlfn.XLOOKUP($P134,localities!$B$2:$B$49,localities!$G$2:$G$49,"NA")</f>
        <v>WGS84</v>
      </c>
      <c r="V134">
        <f>_xlfn.XLOOKUP($P134,localities!$B$2:$B$49,localities!$H$2:$H$49,"NA")</f>
        <v>5</v>
      </c>
      <c r="W134" t="str">
        <f>_xlfn.XLOOKUP($P134,localities!$B$2:$B$49,localities!$I$2:$I$49,"NA")</f>
        <v>NOR</v>
      </c>
      <c r="X134" t="str">
        <f>_xlfn.XLOOKUP($P134,localities!$B$2:$B$49,localities!$J$2:$J$49,"NA")</f>
        <v>Norway</v>
      </c>
      <c r="Y134" t="str">
        <f>_xlfn.XLOOKUP($P134,localities!$B$2:$B$49,localities!$K$2:$K$49,"NA")</f>
        <v>Sør-Trøndelag</v>
      </c>
      <c r="Z134" t="str">
        <f>_xlfn.XLOOKUP($P134,localities!$B$2:$B$49,localities!$L$2:$L$49,"NA")</f>
        <v>Indre Fosen</v>
      </c>
    </row>
    <row r="135" spans="2:26" x14ac:dyDescent="0.3">
      <c r="B135" t="s">
        <v>333</v>
      </c>
      <c r="C135" s="23">
        <v>3</v>
      </c>
      <c r="E135" t="s">
        <v>315</v>
      </c>
      <c r="F135" s="19">
        <f>_xlfn.XLOOKUP($E135,parent_events!$B$2:$B$56,parent_events!$C$2:$C$56,"NA")</f>
        <v>45194</v>
      </c>
      <c r="G135">
        <f>_xlfn.XLOOKUP($E135,parent_events!$B$2:$B$56,parent_events!$D$2:$D$56,"NA")</f>
        <v>2023</v>
      </c>
      <c r="H135">
        <f>_xlfn.XLOOKUP($E135,parent_events!$B$2:$B$56,parent_events!$E$2:$E$56,"NA")</f>
        <v>9</v>
      </c>
      <c r="I135">
        <f>_xlfn.XLOOKUP($E135,parent_events!$B$2:$B$56,parent_events!$F$2:$F$56,"NA")</f>
        <v>25</v>
      </c>
      <c r="J135">
        <f>_xlfn.XLOOKUP($E135,parent_events!$B$2:$B$56,parent_events!$G$2:$G$56,"NA")</f>
        <v>6</v>
      </c>
      <c r="K135" t="str">
        <f>_xlfn.XLOOKUP($E135,parent_events!$B$2:$B$56,parent_events!$H$2:$H$56,"NA")</f>
        <v>Rot (1 min)</v>
      </c>
      <c r="L135" t="str">
        <f>_xlfn.XLOOKUP($E135,parent_events!$B$2:$B$56,parent_events!$I$2:$I$56,"NA")</f>
        <v>"5 replicates of 1 minute kick samples"</v>
      </c>
      <c r="M135">
        <f>_xlfn.XLOOKUP($E135,parent_events!$B$2:$B$56,parent_events!$J$2:$J$56,"NA")</f>
        <v>1</v>
      </c>
      <c r="N135" s="23" t="str">
        <f>_xlfn.XLOOKUP($E135,parent_events!$B$2:$B$56,parent_events!$K$2:$K$56,"NA")</f>
        <v>decimalMinute</v>
      </c>
      <c r="P135" t="str">
        <f>_xlfn.XLOOKUP($E135,parent_events!$B$2:$B$56,parent_events!$L$2:$L$56,"NA")</f>
        <v>Gjoljavatnet_st1</v>
      </c>
      <c r="Q135" t="str">
        <f>_xlfn.XLOOKUP($P135,localities!$B$2:$B$49,localities!$C$2:$C$49,"NA")</f>
        <v>Gjøljavatnet</v>
      </c>
      <c r="R135">
        <f>_xlfn.XLOOKUP($P135,localities!$B$2:$B$49,localities!$D$2:$D$49,"NA")</f>
        <v>1</v>
      </c>
      <c r="S135">
        <f>_xlfn.XLOOKUP($P135,localities!$B$2:$B$49,localities!$E$2:$E$49,"NA")</f>
        <v>63.789260900000002</v>
      </c>
      <c r="T135">
        <f>_xlfn.XLOOKUP($P135,localities!$B$2:$B$49,localities!$F$2:$F$49,"NA")</f>
        <v>10.0251734</v>
      </c>
      <c r="U135" t="str">
        <f>_xlfn.XLOOKUP($P135,localities!$B$2:$B$49,localities!$G$2:$G$49,"NA")</f>
        <v>WGS84</v>
      </c>
      <c r="V135">
        <f>_xlfn.XLOOKUP($P135,localities!$B$2:$B$49,localities!$H$2:$H$49,"NA")</f>
        <v>5</v>
      </c>
      <c r="W135" t="str">
        <f>_xlfn.XLOOKUP($P135,localities!$B$2:$B$49,localities!$I$2:$I$49,"NA")</f>
        <v>NOR</v>
      </c>
      <c r="X135" t="str">
        <f>_xlfn.XLOOKUP($P135,localities!$B$2:$B$49,localities!$J$2:$J$49,"NA")</f>
        <v>Norway</v>
      </c>
      <c r="Y135" t="str">
        <f>_xlfn.XLOOKUP($P135,localities!$B$2:$B$49,localities!$K$2:$K$49,"NA")</f>
        <v>Sør-Trøndelag</v>
      </c>
      <c r="Z135" t="str">
        <f>_xlfn.XLOOKUP($P135,localities!$B$2:$B$49,localities!$L$2:$L$49,"NA")</f>
        <v>Indre Fosen</v>
      </c>
    </row>
    <row r="136" spans="2:26" x14ac:dyDescent="0.3">
      <c r="B136" t="s">
        <v>334</v>
      </c>
      <c r="C136" s="23">
        <v>4</v>
      </c>
      <c r="E136" t="s">
        <v>315</v>
      </c>
      <c r="F136" s="19">
        <f>_xlfn.XLOOKUP($E136,parent_events!$B$2:$B$56,parent_events!$C$2:$C$56,"NA")</f>
        <v>45194</v>
      </c>
      <c r="G136">
        <f>_xlfn.XLOOKUP($E136,parent_events!$B$2:$B$56,parent_events!$D$2:$D$56,"NA")</f>
        <v>2023</v>
      </c>
      <c r="H136">
        <f>_xlfn.XLOOKUP($E136,parent_events!$B$2:$B$56,parent_events!$E$2:$E$56,"NA")</f>
        <v>9</v>
      </c>
      <c r="I136">
        <f>_xlfn.XLOOKUP($E136,parent_events!$B$2:$B$56,parent_events!$F$2:$F$56,"NA")</f>
        <v>25</v>
      </c>
      <c r="J136">
        <f>_xlfn.XLOOKUP($E136,parent_events!$B$2:$B$56,parent_events!$G$2:$G$56,"NA")</f>
        <v>6</v>
      </c>
      <c r="K136" t="str">
        <f>_xlfn.XLOOKUP($E136,parent_events!$B$2:$B$56,parent_events!$H$2:$H$56,"NA")</f>
        <v>Rot (1 min)</v>
      </c>
      <c r="L136" t="str">
        <f>_xlfn.XLOOKUP($E136,parent_events!$B$2:$B$56,parent_events!$I$2:$I$56,"NA")</f>
        <v>"5 replicates of 1 minute kick samples"</v>
      </c>
      <c r="M136">
        <f>_xlfn.XLOOKUP($E136,parent_events!$B$2:$B$56,parent_events!$J$2:$J$56,"NA")</f>
        <v>1</v>
      </c>
      <c r="N136" s="23" t="str">
        <f>_xlfn.XLOOKUP($E136,parent_events!$B$2:$B$56,parent_events!$K$2:$K$56,"NA")</f>
        <v>decimalMinute</v>
      </c>
      <c r="P136" t="str">
        <f>_xlfn.XLOOKUP($E136,parent_events!$B$2:$B$56,parent_events!$L$2:$L$56,"NA")</f>
        <v>Gjoljavatnet_st1</v>
      </c>
      <c r="Q136" t="str">
        <f>_xlfn.XLOOKUP($P136,localities!$B$2:$B$49,localities!$C$2:$C$49,"NA")</f>
        <v>Gjøljavatnet</v>
      </c>
      <c r="R136">
        <f>_xlfn.XLOOKUP($P136,localities!$B$2:$B$49,localities!$D$2:$D$49,"NA")</f>
        <v>1</v>
      </c>
      <c r="S136">
        <f>_xlfn.XLOOKUP($P136,localities!$B$2:$B$49,localities!$E$2:$E$49,"NA")</f>
        <v>63.789260900000002</v>
      </c>
      <c r="T136">
        <f>_xlfn.XLOOKUP($P136,localities!$B$2:$B$49,localities!$F$2:$F$49,"NA")</f>
        <v>10.0251734</v>
      </c>
      <c r="U136" t="str">
        <f>_xlfn.XLOOKUP($P136,localities!$B$2:$B$49,localities!$G$2:$G$49,"NA")</f>
        <v>WGS84</v>
      </c>
      <c r="V136">
        <f>_xlfn.XLOOKUP($P136,localities!$B$2:$B$49,localities!$H$2:$H$49,"NA")</f>
        <v>5</v>
      </c>
      <c r="W136" t="str">
        <f>_xlfn.XLOOKUP($P136,localities!$B$2:$B$49,localities!$I$2:$I$49,"NA")</f>
        <v>NOR</v>
      </c>
      <c r="X136" t="str">
        <f>_xlfn.XLOOKUP($P136,localities!$B$2:$B$49,localities!$J$2:$J$49,"NA")</f>
        <v>Norway</v>
      </c>
      <c r="Y136" t="str">
        <f>_xlfn.XLOOKUP($P136,localities!$B$2:$B$49,localities!$K$2:$K$49,"NA")</f>
        <v>Sør-Trøndelag</v>
      </c>
      <c r="Z136" t="str">
        <f>_xlfn.XLOOKUP($P136,localities!$B$2:$B$49,localities!$L$2:$L$49,"NA")</f>
        <v>Indre Fosen</v>
      </c>
    </row>
    <row r="137" spans="2:26" x14ac:dyDescent="0.3">
      <c r="B137" t="s">
        <v>335</v>
      </c>
      <c r="C137" s="23">
        <v>5</v>
      </c>
      <c r="E137" t="s">
        <v>315</v>
      </c>
      <c r="F137" s="19">
        <f>_xlfn.XLOOKUP($E137,parent_events!$B$2:$B$56,parent_events!$C$2:$C$56,"NA")</f>
        <v>45194</v>
      </c>
      <c r="G137">
        <f>_xlfn.XLOOKUP($E137,parent_events!$B$2:$B$56,parent_events!$D$2:$D$56,"NA")</f>
        <v>2023</v>
      </c>
      <c r="H137">
        <f>_xlfn.XLOOKUP($E137,parent_events!$B$2:$B$56,parent_events!$E$2:$E$56,"NA")</f>
        <v>9</v>
      </c>
      <c r="I137">
        <f>_xlfn.XLOOKUP($E137,parent_events!$B$2:$B$56,parent_events!$F$2:$F$56,"NA")</f>
        <v>25</v>
      </c>
      <c r="J137">
        <f>_xlfn.XLOOKUP($E137,parent_events!$B$2:$B$56,parent_events!$G$2:$G$56,"NA")</f>
        <v>6</v>
      </c>
      <c r="K137" t="str">
        <f>_xlfn.XLOOKUP($E137,parent_events!$B$2:$B$56,parent_events!$H$2:$H$56,"NA")</f>
        <v>Rot (1 min)</v>
      </c>
      <c r="L137" t="str">
        <f>_xlfn.XLOOKUP($E137,parent_events!$B$2:$B$56,parent_events!$I$2:$I$56,"NA")</f>
        <v>"5 replicates of 1 minute kick samples"</v>
      </c>
      <c r="M137">
        <f>_xlfn.XLOOKUP($E137,parent_events!$B$2:$B$56,parent_events!$J$2:$J$56,"NA")</f>
        <v>1</v>
      </c>
      <c r="N137" s="23" t="str">
        <f>_xlfn.XLOOKUP($E137,parent_events!$B$2:$B$56,parent_events!$K$2:$K$56,"NA")</f>
        <v>decimalMinute</v>
      </c>
      <c r="P137" t="str">
        <f>_xlfn.XLOOKUP($E137,parent_events!$B$2:$B$56,parent_events!$L$2:$L$56,"NA")</f>
        <v>Gjoljavatnet_st1</v>
      </c>
      <c r="Q137" t="str">
        <f>_xlfn.XLOOKUP($P137,localities!$B$2:$B$49,localities!$C$2:$C$49,"NA")</f>
        <v>Gjøljavatnet</v>
      </c>
      <c r="R137">
        <f>_xlfn.XLOOKUP($P137,localities!$B$2:$B$49,localities!$D$2:$D$49,"NA")</f>
        <v>1</v>
      </c>
      <c r="S137">
        <f>_xlfn.XLOOKUP($P137,localities!$B$2:$B$49,localities!$E$2:$E$49,"NA")</f>
        <v>63.789260900000002</v>
      </c>
      <c r="T137">
        <f>_xlfn.XLOOKUP($P137,localities!$B$2:$B$49,localities!$F$2:$F$49,"NA")</f>
        <v>10.0251734</v>
      </c>
      <c r="U137" t="str">
        <f>_xlfn.XLOOKUP($P137,localities!$B$2:$B$49,localities!$G$2:$G$49,"NA")</f>
        <v>WGS84</v>
      </c>
      <c r="V137">
        <f>_xlfn.XLOOKUP($P137,localities!$B$2:$B$49,localities!$H$2:$H$49,"NA")</f>
        <v>5</v>
      </c>
      <c r="W137" t="str">
        <f>_xlfn.XLOOKUP($P137,localities!$B$2:$B$49,localities!$I$2:$I$49,"NA")</f>
        <v>NOR</v>
      </c>
      <c r="X137" t="str">
        <f>_xlfn.XLOOKUP($P137,localities!$B$2:$B$49,localities!$J$2:$J$49,"NA")</f>
        <v>Norway</v>
      </c>
      <c r="Y137" t="str">
        <f>_xlfn.XLOOKUP($P137,localities!$B$2:$B$49,localities!$K$2:$K$49,"NA")</f>
        <v>Sør-Trøndelag</v>
      </c>
      <c r="Z137" t="str">
        <f>_xlfn.XLOOKUP($P137,localities!$B$2:$B$49,localities!$L$2:$L$49,"NA")</f>
        <v>Indre Fosen</v>
      </c>
    </row>
    <row r="138" spans="2:26" x14ac:dyDescent="0.3">
      <c r="B138" t="s">
        <v>346</v>
      </c>
      <c r="C138" s="23">
        <v>1</v>
      </c>
      <c r="E138" t="s">
        <v>318</v>
      </c>
      <c r="F138" s="19">
        <f>_xlfn.XLOOKUP($E138,parent_events!$B$2:$B$56,parent_events!$C$2:$C$56,"NA")</f>
        <v>45194</v>
      </c>
      <c r="G138">
        <f>_xlfn.XLOOKUP($E138,parent_events!$B$2:$B$56,parent_events!$D$2:$D$56,"NA")</f>
        <v>2023</v>
      </c>
      <c r="H138">
        <f>_xlfn.XLOOKUP($E138,parent_events!$B$2:$B$56,parent_events!$E$2:$E$56,"NA")</f>
        <v>9</v>
      </c>
      <c r="I138">
        <f>_xlfn.XLOOKUP($E138,parent_events!$B$2:$B$56,parent_events!$F$2:$F$56,"NA")</f>
        <v>25</v>
      </c>
      <c r="J138">
        <f>_xlfn.XLOOKUP($E138,parent_events!$B$2:$B$56,parent_events!$G$2:$G$56,"NA")</f>
        <v>6</v>
      </c>
      <c r="K138" t="str">
        <f>_xlfn.XLOOKUP($E138,parent_events!$B$2:$B$56,parent_events!$H$2:$H$56,"NA")</f>
        <v>Rot (1 min)</v>
      </c>
      <c r="L138" t="str">
        <f>_xlfn.XLOOKUP($E138,parent_events!$B$2:$B$56,parent_events!$I$2:$I$56,"NA")</f>
        <v>"5 replicates of 1 minute kick samples"</v>
      </c>
      <c r="M138">
        <f>_xlfn.XLOOKUP($E138,parent_events!$B$2:$B$56,parent_events!$J$2:$J$56,"NA")</f>
        <v>1</v>
      </c>
      <c r="N138" s="23" t="str">
        <f>_xlfn.XLOOKUP($E138,parent_events!$B$2:$B$56,parent_events!$K$2:$K$56,"NA")</f>
        <v>decimalMinute</v>
      </c>
      <c r="P138" t="str">
        <f>_xlfn.XLOOKUP($E138,parent_events!$B$2:$B$56,parent_events!$L$2:$L$56,"NA")</f>
        <v>Storvatnet_st1</v>
      </c>
      <c r="Q138" t="str">
        <f>_xlfn.XLOOKUP($P138,localities!$B$2:$B$49,localities!$C$2:$C$49,"NA")</f>
        <v>Storvatnet</v>
      </c>
      <c r="R138">
        <f>_xlfn.XLOOKUP($P138,localities!$B$2:$B$49,localities!$D$2:$D$49,"NA")</f>
        <v>1</v>
      </c>
      <c r="S138">
        <f>_xlfn.XLOOKUP($P138,localities!$B$2:$B$49,localities!$E$2:$E$49,"NA")</f>
        <v>63.621177600000003</v>
      </c>
      <c r="T138">
        <f>_xlfn.XLOOKUP($P138,localities!$B$2:$B$49,localities!$F$2:$F$49,"NA")</f>
        <v>10.2333759</v>
      </c>
      <c r="U138" t="str">
        <f>_xlfn.XLOOKUP($P138,localities!$B$2:$B$49,localities!$G$2:$G$49,"NA")</f>
        <v>WGS84</v>
      </c>
      <c r="V138">
        <f>_xlfn.XLOOKUP($P138,localities!$B$2:$B$49,localities!$H$2:$H$49,"NA")</f>
        <v>5</v>
      </c>
      <c r="W138" t="str">
        <f>_xlfn.XLOOKUP($P138,localities!$B$2:$B$49,localities!$I$2:$I$49,"NA")</f>
        <v>NOR</v>
      </c>
      <c r="X138" t="str">
        <f>_xlfn.XLOOKUP($P138,localities!$B$2:$B$49,localities!$J$2:$J$49,"NA")</f>
        <v>Norway</v>
      </c>
      <c r="Y138" t="str">
        <f>_xlfn.XLOOKUP($P138,localities!$B$2:$B$49,localities!$K$2:$K$49,"NA")</f>
        <v>Nord-Trøndelag</v>
      </c>
      <c r="Z138" t="str">
        <f>_xlfn.XLOOKUP($P138,localities!$B$2:$B$49,localities!$L$2:$L$49,"NA")</f>
        <v>Indre Fosen</v>
      </c>
    </row>
    <row r="139" spans="2:26" x14ac:dyDescent="0.3">
      <c r="B139" t="s">
        <v>347</v>
      </c>
      <c r="C139" s="23">
        <v>2</v>
      </c>
      <c r="E139" t="s">
        <v>318</v>
      </c>
      <c r="F139" s="19">
        <f>_xlfn.XLOOKUP($E139,parent_events!$B$2:$B$56,parent_events!$C$2:$C$56,"NA")</f>
        <v>45194</v>
      </c>
      <c r="G139">
        <f>_xlfn.XLOOKUP($E139,parent_events!$B$2:$B$56,parent_events!$D$2:$D$56,"NA")</f>
        <v>2023</v>
      </c>
      <c r="H139">
        <f>_xlfn.XLOOKUP($E139,parent_events!$B$2:$B$56,parent_events!$E$2:$E$56,"NA")</f>
        <v>9</v>
      </c>
      <c r="I139">
        <f>_xlfn.XLOOKUP($E139,parent_events!$B$2:$B$56,parent_events!$F$2:$F$56,"NA")</f>
        <v>25</v>
      </c>
      <c r="J139">
        <f>_xlfn.XLOOKUP($E139,parent_events!$B$2:$B$56,parent_events!$G$2:$G$56,"NA")</f>
        <v>6</v>
      </c>
      <c r="K139" t="str">
        <f>_xlfn.XLOOKUP($E139,parent_events!$B$2:$B$56,parent_events!$H$2:$H$56,"NA")</f>
        <v>Rot (1 min)</v>
      </c>
      <c r="L139" t="str">
        <f>_xlfn.XLOOKUP($E139,parent_events!$B$2:$B$56,parent_events!$I$2:$I$56,"NA")</f>
        <v>"5 replicates of 1 minute kick samples"</v>
      </c>
      <c r="M139">
        <f>_xlfn.XLOOKUP($E139,parent_events!$B$2:$B$56,parent_events!$J$2:$J$56,"NA")</f>
        <v>1</v>
      </c>
      <c r="N139" s="23" t="str">
        <f>_xlfn.XLOOKUP($E139,parent_events!$B$2:$B$56,parent_events!$K$2:$K$56,"NA")</f>
        <v>decimalMinute</v>
      </c>
      <c r="P139" t="str">
        <f>_xlfn.XLOOKUP($E139,parent_events!$B$2:$B$56,parent_events!$L$2:$L$56,"NA")</f>
        <v>Storvatnet_st1</v>
      </c>
      <c r="Q139" t="str">
        <f>_xlfn.XLOOKUP($P139,localities!$B$2:$B$49,localities!$C$2:$C$49,"NA")</f>
        <v>Storvatnet</v>
      </c>
      <c r="R139">
        <f>_xlfn.XLOOKUP($P139,localities!$B$2:$B$49,localities!$D$2:$D$49,"NA")</f>
        <v>1</v>
      </c>
      <c r="S139">
        <f>_xlfn.XLOOKUP($P139,localities!$B$2:$B$49,localities!$E$2:$E$49,"NA")</f>
        <v>63.621177600000003</v>
      </c>
      <c r="T139">
        <f>_xlfn.XLOOKUP($P139,localities!$B$2:$B$49,localities!$F$2:$F$49,"NA")</f>
        <v>10.2333759</v>
      </c>
      <c r="U139" t="str">
        <f>_xlfn.XLOOKUP($P139,localities!$B$2:$B$49,localities!$G$2:$G$49,"NA")</f>
        <v>WGS84</v>
      </c>
      <c r="V139">
        <f>_xlfn.XLOOKUP($P139,localities!$B$2:$B$49,localities!$H$2:$H$49,"NA")</f>
        <v>5</v>
      </c>
      <c r="W139" t="str">
        <f>_xlfn.XLOOKUP($P139,localities!$B$2:$B$49,localities!$I$2:$I$49,"NA")</f>
        <v>NOR</v>
      </c>
      <c r="X139" t="str">
        <f>_xlfn.XLOOKUP($P139,localities!$B$2:$B$49,localities!$J$2:$J$49,"NA")</f>
        <v>Norway</v>
      </c>
      <c r="Y139" t="str">
        <f>_xlfn.XLOOKUP($P139,localities!$B$2:$B$49,localities!$K$2:$K$49,"NA")</f>
        <v>Nord-Trøndelag</v>
      </c>
      <c r="Z139" t="str">
        <f>_xlfn.XLOOKUP($P139,localities!$B$2:$B$49,localities!$L$2:$L$49,"NA")</f>
        <v>Indre Fosen</v>
      </c>
    </row>
    <row r="140" spans="2:26" x14ac:dyDescent="0.3">
      <c r="B140" t="s">
        <v>348</v>
      </c>
      <c r="C140" s="23">
        <v>3</v>
      </c>
      <c r="E140" t="s">
        <v>318</v>
      </c>
      <c r="F140" s="19">
        <f>_xlfn.XLOOKUP($E140,parent_events!$B$2:$B$56,parent_events!$C$2:$C$56,"NA")</f>
        <v>45194</v>
      </c>
      <c r="G140">
        <f>_xlfn.XLOOKUP($E140,parent_events!$B$2:$B$56,parent_events!$D$2:$D$56,"NA")</f>
        <v>2023</v>
      </c>
      <c r="H140">
        <f>_xlfn.XLOOKUP($E140,parent_events!$B$2:$B$56,parent_events!$E$2:$E$56,"NA")</f>
        <v>9</v>
      </c>
      <c r="I140">
        <f>_xlfn.XLOOKUP($E140,parent_events!$B$2:$B$56,parent_events!$F$2:$F$56,"NA")</f>
        <v>25</v>
      </c>
      <c r="J140">
        <f>_xlfn.XLOOKUP($E140,parent_events!$B$2:$B$56,parent_events!$G$2:$G$56,"NA")</f>
        <v>6</v>
      </c>
      <c r="K140" t="str">
        <f>_xlfn.XLOOKUP($E140,parent_events!$B$2:$B$56,parent_events!$H$2:$H$56,"NA")</f>
        <v>Rot (1 min)</v>
      </c>
      <c r="L140" t="str">
        <f>_xlfn.XLOOKUP($E140,parent_events!$B$2:$B$56,parent_events!$I$2:$I$56,"NA")</f>
        <v>"5 replicates of 1 minute kick samples"</v>
      </c>
      <c r="M140">
        <f>_xlfn.XLOOKUP($E140,parent_events!$B$2:$B$56,parent_events!$J$2:$J$56,"NA")</f>
        <v>1</v>
      </c>
      <c r="N140" s="23" t="str">
        <f>_xlfn.XLOOKUP($E140,parent_events!$B$2:$B$56,parent_events!$K$2:$K$56,"NA")</f>
        <v>decimalMinute</v>
      </c>
      <c r="P140" t="str">
        <f>_xlfn.XLOOKUP($E140,parent_events!$B$2:$B$56,parent_events!$L$2:$L$56,"NA")</f>
        <v>Storvatnet_st1</v>
      </c>
      <c r="Q140" t="str">
        <f>_xlfn.XLOOKUP($P140,localities!$B$2:$B$49,localities!$C$2:$C$49,"NA")</f>
        <v>Storvatnet</v>
      </c>
      <c r="R140">
        <f>_xlfn.XLOOKUP($P140,localities!$B$2:$B$49,localities!$D$2:$D$49,"NA")</f>
        <v>1</v>
      </c>
      <c r="S140">
        <f>_xlfn.XLOOKUP($P140,localities!$B$2:$B$49,localities!$E$2:$E$49,"NA")</f>
        <v>63.621177600000003</v>
      </c>
      <c r="T140">
        <f>_xlfn.XLOOKUP($P140,localities!$B$2:$B$49,localities!$F$2:$F$49,"NA")</f>
        <v>10.2333759</v>
      </c>
      <c r="U140" t="str">
        <f>_xlfn.XLOOKUP($P140,localities!$B$2:$B$49,localities!$G$2:$G$49,"NA")</f>
        <v>WGS84</v>
      </c>
      <c r="V140">
        <f>_xlfn.XLOOKUP($P140,localities!$B$2:$B$49,localities!$H$2:$H$49,"NA")</f>
        <v>5</v>
      </c>
      <c r="W140" t="str">
        <f>_xlfn.XLOOKUP($P140,localities!$B$2:$B$49,localities!$I$2:$I$49,"NA")</f>
        <v>NOR</v>
      </c>
      <c r="X140" t="str">
        <f>_xlfn.XLOOKUP($P140,localities!$B$2:$B$49,localities!$J$2:$J$49,"NA")</f>
        <v>Norway</v>
      </c>
      <c r="Y140" t="str">
        <f>_xlfn.XLOOKUP($P140,localities!$B$2:$B$49,localities!$K$2:$K$49,"NA")</f>
        <v>Nord-Trøndelag</v>
      </c>
      <c r="Z140" t="str">
        <f>_xlfn.XLOOKUP($P140,localities!$B$2:$B$49,localities!$L$2:$L$49,"NA")</f>
        <v>Indre Fosen</v>
      </c>
    </row>
    <row r="141" spans="2:26" x14ac:dyDescent="0.3">
      <c r="B141" t="s">
        <v>349</v>
      </c>
      <c r="C141" s="23">
        <v>4</v>
      </c>
      <c r="E141" t="s">
        <v>318</v>
      </c>
      <c r="F141" s="19">
        <f>_xlfn.XLOOKUP($E141,parent_events!$B$2:$B$56,parent_events!$C$2:$C$56,"NA")</f>
        <v>45194</v>
      </c>
      <c r="G141">
        <f>_xlfn.XLOOKUP($E141,parent_events!$B$2:$B$56,parent_events!$D$2:$D$56,"NA")</f>
        <v>2023</v>
      </c>
      <c r="H141">
        <f>_xlfn.XLOOKUP($E141,parent_events!$B$2:$B$56,parent_events!$E$2:$E$56,"NA")</f>
        <v>9</v>
      </c>
      <c r="I141">
        <f>_xlfn.XLOOKUP($E141,parent_events!$B$2:$B$56,parent_events!$F$2:$F$56,"NA")</f>
        <v>25</v>
      </c>
      <c r="J141">
        <f>_xlfn.XLOOKUP($E141,parent_events!$B$2:$B$56,parent_events!$G$2:$G$56,"NA")</f>
        <v>6</v>
      </c>
      <c r="K141" t="str">
        <f>_xlfn.XLOOKUP($E141,parent_events!$B$2:$B$56,parent_events!$H$2:$H$56,"NA")</f>
        <v>Rot (1 min)</v>
      </c>
      <c r="L141" t="str">
        <f>_xlfn.XLOOKUP($E141,parent_events!$B$2:$B$56,parent_events!$I$2:$I$56,"NA")</f>
        <v>"5 replicates of 1 minute kick samples"</v>
      </c>
      <c r="M141">
        <f>_xlfn.XLOOKUP($E141,parent_events!$B$2:$B$56,parent_events!$J$2:$J$56,"NA")</f>
        <v>1</v>
      </c>
      <c r="N141" s="23" t="str">
        <f>_xlfn.XLOOKUP($E141,parent_events!$B$2:$B$56,parent_events!$K$2:$K$56,"NA")</f>
        <v>decimalMinute</v>
      </c>
      <c r="P141" t="str">
        <f>_xlfn.XLOOKUP($E141,parent_events!$B$2:$B$56,parent_events!$L$2:$L$56,"NA")</f>
        <v>Storvatnet_st1</v>
      </c>
      <c r="Q141" t="str">
        <f>_xlfn.XLOOKUP($P141,localities!$B$2:$B$49,localities!$C$2:$C$49,"NA")</f>
        <v>Storvatnet</v>
      </c>
      <c r="R141">
        <f>_xlfn.XLOOKUP($P141,localities!$B$2:$B$49,localities!$D$2:$D$49,"NA")</f>
        <v>1</v>
      </c>
      <c r="S141">
        <f>_xlfn.XLOOKUP($P141,localities!$B$2:$B$49,localities!$E$2:$E$49,"NA")</f>
        <v>63.621177600000003</v>
      </c>
      <c r="T141">
        <f>_xlfn.XLOOKUP($P141,localities!$B$2:$B$49,localities!$F$2:$F$49,"NA")</f>
        <v>10.2333759</v>
      </c>
      <c r="U141" t="str">
        <f>_xlfn.XLOOKUP($P141,localities!$B$2:$B$49,localities!$G$2:$G$49,"NA")</f>
        <v>WGS84</v>
      </c>
      <c r="V141">
        <f>_xlfn.XLOOKUP($P141,localities!$B$2:$B$49,localities!$H$2:$H$49,"NA")</f>
        <v>5</v>
      </c>
      <c r="W141" t="str">
        <f>_xlfn.XLOOKUP($P141,localities!$B$2:$B$49,localities!$I$2:$I$49,"NA")</f>
        <v>NOR</v>
      </c>
      <c r="X141" t="str">
        <f>_xlfn.XLOOKUP($P141,localities!$B$2:$B$49,localities!$J$2:$J$49,"NA")</f>
        <v>Norway</v>
      </c>
      <c r="Y141" t="str">
        <f>_xlfn.XLOOKUP($P141,localities!$B$2:$B$49,localities!$K$2:$K$49,"NA")</f>
        <v>Nord-Trøndelag</v>
      </c>
      <c r="Z141" t="str">
        <f>_xlfn.XLOOKUP($P141,localities!$B$2:$B$49,localities!$L$2:$L$49,"NA")</f>
        <v>Indre Fosen</v>
      </c>
    </row>
    <row r="142" spans="2:26" x14ac:dyDescent="0.3">
      <c r="B142" t="s">
        <v>350</v>
      </c>
      <c r="C142" s="23">
        <v>5</v>
      </c>
      <c r="E142" t="s">
        <v>318</v>
      </c>
      <c r="F142" s="19">
        <f>_xlfn.XLOOKUP($E142,parent_events!$B$2:$B$56,parent_events!$C$2:$C$56,"NA")</f>
        <v>45194</v>
      </c>
      <c r="G142">
        <f>_xlfn.XLOOKUP($E142,parent_events!$B$2:$B$56,parent_events!$D$2:$D$56,"NA")</f>
        <v>2023</v>
      </c>
      <c r="H142">
        <f>_xlfn.XLOOKUP($E142,parent_events!$B$2:$B$56,parent_events!$E$2:$E$56,"NA")</f>
        <v>9</v>
      </c>
      <c r="I142">
        <f>_xlfn.XLOOKUP($E142,parent_events!$B$2:$B$56,parent_events!$F$2:$F$56,"NA")</f>
        <v>25</v>
      </c>
      <c r="J142">
        <f>_xlfn.XLOOKUP($E142,parent_events!$B$2:$B$56,parent_events!$G$2:$G$56,"NA")</f>
        <v>6</v>
      </c>
      <c r="K142" t="str">
        <f>_xlfn.XLOOKUP($E142,parent_events!$B$2:$B$56,parent_events!$H$2:$H$56,"NA")</f>
        <v>Rot (1 min)</v>
      </c>
      <c r="L142" t="str">
        <f>_xlfn.XLOOKUP($E142,parent_events!$B$2:$B$56,parent_events!$I$2:$I$56,"NA")</f>
        <v>"5 replicates of 1 minute kick samples"</v>
      </c>
      <c r="M142">
        <f>_xlfn.XLOOKUP($E142,parent_events!$B$2:$B$56,parent_events!$J$2:$J$56,"NA")</f>
        <v>1</v>
      </c>
      <c r="N142" s="23" t="str">
        <f>_xlfn.XLOOKUP($E142,parent_events!$B$2:$B$56,parent_events!$K$2:$K$56,"NA")</f>
        <v>decimalMinute</v>
      </c>
      <c r="P142" t="str">
        <f>_xlfn.XLOOKUP($E142,parent_events!$B$2:$B$56,parent_events!$L$2:$L$56,"NA")</f>
        <v>Storvatnet_st1</v>
      </c>
      <c r="Q142" t="str">
        <f>_xlfn.XLOOKUP($P142,localities!$B$2:$B$49,localities!$C$2:$C$49,"NA")</f>
        <v>Storvatnet</v>
      </c>
      <c r="R142">
        <f>_xlfn.XLOOKUP($P142,localities!$B$2:$B$49,localities!$D$2:$D$49,"NA")</f>
        <v>1</v>
      </c>
      <c r="S142">
        <f>_xlfn.XLOOKUP($P142,localities!$B$2:$B$49,localities!$E$2:$E$49,"NA")</f>
        <v>63.621177600000003</v>
      </c>
      <c r="T142">
        <f>_xlfn.XLOOKUP($P142,localities!$B$2:$B$49,localities!$F$2:$F$49,"NA")</f>
        <v>10.2333759</v>
      </c>
      <c r="U142" t="str">
        <f>_xlfn.XLOOKUP($P142,localities!$B$2:$B$49,localities!$G$2:$G$49,"NA")</f>
        <v>WGS84</v>
      </c>
      <c r="V142">
        <f>_xlfn.XLOOKUP($P142,localities!$B$2:$B$49,localities!$H$2:$H$49,"NA")</f>
        <v>5</v>
      </c>
      <c r="W142" t="str">
        <f>_xlfn.XLOOKUP($P142,localities!$B$2:$B$49,localities!$I$2:$I$49,"NA")</f>
        <v>NOR</v>
      </c>
      <c r="X142" t="str">
        <f>_xlfn.XLOOKUP($P142,localities!$B$2:$B$49,localities!$J$2:$J$49,"NA")</f>
        <v>Norway</v>
      </c>
      <c r="Y142" t="str">
        <f>_xlfn.XLOOKUP($P142,localities!$B$2:$B$49,localities!$K$2:$K$49,"NA")</f>
        <v>Nord-Trøndelag</v>
      </c>
      <c r="Z142" t="str">
        <f>_xlfn.XLOOKUP($P142,localities!$B$2:$B$49,localities!$L$2:$L$49,"NA")</f>
        <v>Indre Fosen</v>
      </c>
    </row>
    <row r="143" spans="2:26" x14ac:dyDescent="0.3">
      <c r="B143" t="s">
        <v>336</v>
      </c>
      <c r="C143" s="23">
        <v>1</v>
      </c>
      <c r="E143" t="s">
        <v>319</v>
      </c>
      <c r="F143" s="19">
        <f>_xlfn.XLOOKUP($E143,parent_events!$B$2:$B$56,parent_events!$C$2:$C$56,"NA")</f>
        <v>45194</v>
      </c>
      <c r="G143">
        <f>_xlfn.XLOOKUP($E143,parent_events!$B$2:$B$56,parent_events!$D$2:$D$56,"NA")</f>
        <v>2023</v>
      </c>
      <c r="H143">
        <f>_xlfn.XLOOKUP($E143,parent_events!$B$2:$B$56,parent_events!$E$2:$E$56,"NA")</f>
        <v>9</v>
      </c>
      <c r="I143">
        <f>_xlfn.XLOOKUP($E143,parent_events!$B$2:$B$56,parent_events!$F$2:$F$56,"NA")</f>
        <v>25</v>
      </c>
      <c r="J143">
        <f>_xlfn.XLOOKUP($E143,parent_events!$B$2:$B$56,parent_events!$G$2:$G$56,"NA")</f>
        <v>6</v>
      </c>
      <c r="K143" t="str">
        <f>_xlfn.XLOOKUP($E143,parent_events!$B$2:$B$56,parent_events!$H$2:$H$56,"NA")</f>
        <v>Rot (1 min)</v>
      </c>
      <c r="L143" t="str">
        <f>_xlfn.XLOOKUP($E143,parent_events!$B$2:$B$56,parent_events!$I$2:$I$56,"NA")</f>
        <v>"5 replicates of 1 minute kick samples"</v>
      </c>
      <c r="M143">
        <f>_xlfn.XLOOKUP($E143,parent_events!$B$2:$B$56,parent_events!$J$2:$J$56,"NA")</f>
        <v>1</v>
      </c>
      <c r="N143" s="23" t="str">
        <f>_xlfn.XLOOKUP($E143,parent_events!$B$2:$B$56,parent_events!$K$2:$K$56,"NA")</f>
        <v>decimalMinute</v>
      </c>
      <c r="P143" t="str">
        <f>_xlfn.XLOOKUP($E143,parent_events!$B$2:$B$56,parent_events!$L$2:$L$56,"NA")</f>
        <v>Barsetvatnet_st1</v>
      </c>
      <c r="Q143" t="str">
        <f>_xlfn.XLOOKUP($P143,localities!$B$2:$B$49,localities!$C$2:$C$49,"NA")</f>
        <v>Barsetvatnet</v>
      </c>
      <c r="R143">
        <f>_xlfn.XLOOKUP($P143,localities!$B$2:$B$49,localities!$D$2:$D$49,"NA")</f>
        <v>1</v>
      </c>
      <c r="S143">
        <f>_xlfn.XLOOKUP($P143,localities!$B$2:$B$49,localities!$E$2:$E$49,"NA")</f>
        <v>63.797785500000003</v>
      </c>
      <c r="T143">
        <f>_xlfn.XLOOKUP($P143,localities!$B$2:$B$49,localities!$F$2:$F$49,"NA")</f>
        <v>9.8281852999999995</v>
      </c>
      <c r="U143" t="str">
        <f>_xlfn.XLOOKUP($P143,localities!$B$2:$B$49,localities!$G$2:$G$49,"NA")</f>
        <v>WGS84</v>
      </c>
      <c r="V143">
        <f>_xlfn.XLOOKUP($P143,localities!$B$2:$B$49,localities!$H$2:$H$49,"NA")</f>
        <v>5</v>
      </c>
      <c r="W143" t="str">
        <f>_xlfn.XLOOKUP($P143,localities!$B$2:$B$49,localities!$I$2:$I$49,"NA")</f>
        <v>NOR</v>
      </c>
      <c r="X143" t="str">
        <f>_xlfn.XLOOKUP($P143,localities!$B$2:$B$49,localities!$J$2:$J$49,"NA")</f>
        <v>Norway</v>
      </c>
      <c r="Y143" t="str">
        <f>_xlfn.XLOOKUP($P143,localities!$B$2:$B$49,localities!$K$2:$K$49,"NA")</f>
        <v>Sør-Trøndelag</v>
      </c>
      <c r="Z143" t="str">
        <f>_xlfn.XLOOKUP($P143,localities!$B$2:$B$49,localities!$L$2:$L$49,"NA")</f>
        <v>Ørland</v>
      </c>
    </row>
    <row r="144" spans="2:26" x14ac:dyDescent="0.3">
      <c r="B144" t="s">
        <v>337</v>
      </c>
      <c r="C144" s="23">
        <v>2</v>
      </c>
      <c r="E144" t="s">
        <v>319</v>
      </c>
      <c r="F144" s="19">
        <f>_xlfn.XLOOKUP($E144,parent_events!$B$2:$B$56,parent_events!$C$2:$C$56,"NA")</f>
        <v>45194</v>
      </c>
      <c r="G144">
        <f>_xlfn.XLOOKUP($E144,parent_events!$B$2:$B$56,parent_events!$D$2:$D$56,"NA")</f>
        <v>2023</v>
      </c>
      <c r="H144">
        <f>_xlfn.XLOOKUP($E144,parent_events!$B$2:$B$56,parent_events!$E$2:$E$56,"NA")</f>
        <v>9</v>
      </c>
      <c r="I144">
        <f>_xlfn.XLOOKUP($E144,parent_events!$B$2:$B$56,parent_events!$F$2:$F$56,"NA")</f>
        <v>25</v>
      </c>
      <c r="J144">
        <f>_xlfn.XLOOKUP($E144,parent_events!$B$2:$B$56,parent_events!$G$2:$G$56,"NA")</f>
        <v>6</v>
      </c>
      <c r="K144" t="str">
        <f>_xlfn.XLOOKUP($E144,parent_events!$B$2:$B$56,parent_events!$H$2:$H$56,"NA")</f>
        <v>Rot (1 min)</v>
      </c>
      <c r="L144" t="str">
        <f>_xlfn.XLOOKUP($E144,parent_events!$B$2:$B$56,parent_events!$I$2:$I$56,"NA")</f>
        <v>"5 replicates of 1 minute kick samples"</v>
      </c>
      <c r="M144">
        <f>_xlfn.XLOOKUP($E144,parent_events!$B$2:$B$56,parent_events!$J$2:$J$56,"NA")</f>
        <v>1</v>
      </c>
      <c r="N144" s="23" t="str">
        <f>_xlfn.XLOOKUP($E144,parent_events!$B$2:$B$56,parent_events!$K$2:$K$56,"NA")</f>
        <v>decimalMinute</v>
      </c>
      <c r="P144" t="str">
        <f>_xlfn.XLOOKUP($E144,parent_events!$B$2:$B$56,parent_events!$L$2:$L$56,"NA")</f>
        <v>Barsetvatnet_st1</v>
      </c>
      <c r="Q144" t="str">
        <f>_xlfn.XLOOKUP($P144,localities!$B$2:$B$49,localities!$C$2:$C$49,"NA")</f>
        <v>Barsetvatnet</v>
      </c>
      <c r="R144">
        <f>_xlfn.XLOOKUP($P144,localities!$B$2:$B$49,localities!$D$2:$D$49,"NA")</f>
        <v>1</v>
      </c>
      <c r="S144">
        <f>_xlfn.XLOOKUP($P144,localities!$B$2:$B$49,localities!$E$2:$E$49,"NA")</f>
        <v>63.797785500000003</v>
      </c>
      <c r="T144">
        <f>_xlfn.XLOOKUP($P144,localities!$B$2:$B$49,localities!$F$2:$F$49,"NA")</f>
        <v>9.8281852999999995</v>
      </c>
      <c r="U144" t="str">
        <f>_xlfn.XLOOKUP($P144,localities!$B$2:$B$49,localities!$G$2:$G$49,"NA")</f>
        <v>WGS84</v>
      </c>
      <c r="V144">
        <f>_xlfn.XLOOKUP($P144,localities!$B$2:$B$49,localities!$H$2:$H$49,"NA")</f>
        <v>5</v>
      </c>
      <c r="W144" t="str">
        <f>_xlfn.XLOOKUP($P144,localities!$B$2:$B$49,localities!$I$2:$I$49,"NA")</f>
        <v>NOR</v>
      </c>
      <c r="X144" t="str">
        <f>_xlfn.XLOOKUP($P144,localities!$B$2:$B$49,localities!$J$2:$J$49,"NA")</f>
        <v>Norway</v>
      </c>
      <c r="Y144" t="str">
        <f>_xlfn.XLOOKUP($P144,localities!$B$2:$B$49,localities!$K$2:$K$49,"NA")</f>
        <v>Sør-Trøndelag</v>
      </c>
      <c r="Z144" t="str">
        <f>_xlfn.XLOOKUP($P144,localities!$B$2:$B$49,localities!$L$2:$L$49,"NA")</f>
        <v>Ørland</v>
      </c>
    </row>
    <row r="145" spans="2:26" x14ac:dyDescent="0.3">
      <c r="B145" t="s">
        <v>338</v>
      </c>
      <c r="C145" s="23">
        <v>3</v>
      </c>
      <c r="E145" t="s">
        <v>319</v>
      </c>
      <c r="F145" s="19">
        <f>_xlfn.XLOOKUP($E145,parent_events!$B$2:$B$56,parent_events!$C$2:$C$56,"NA")</f>
        <v>45194</v>
      </c>
      <c r="G145">
        <f>_xlfn.XLOOKUP($E145,parent_events!$B$2:$B$56,parent_events!$D$2:$D$56,"NA")</f>
        <v>2023</v>
      </c>
      <c r="H145">
        <f>_xlfn.XLOOKUP($E145,parent_events!$B$2:$B$56,parent_events!$E$2:$E$56,"NA")</f>
        <v>9</v>
      </c>
      <c r="I145">
        <f>_xlfn.XLOOKUP($E145,parent_events!$B$2:$B$56,parent_events!$F$2:$F$56,"NA")</f>
        <v>25</v>
      </c>
      <c r="J145">
        <f>_xlfn.XLOOKUP($E145,parent_events!$B$2:$B$56,parent_events!$G$2:$G$56,"NA")</f>
        <v>6</v>
      </c>
      <c r="K145" t="str">
        <f>_xlfn.XLOOKUP($E145,parent_events!$B$2:$B$56,parent_events!$H$2:$H$56,"NA")</f>
        <v>Rot (1 min)</v>
      </c>
      <c r="L145" t="str">
        <f>_xlfn.XLOOKUP($E145,parent_events!$B$2:$B$56,parent_events!$I$2:$I$56,"NA")</f>
        <v>"5 replicates of 1 minute kick samples"</v>
      </c>
      <c r="M145">
        <f>_xlfn.XLOOKUP($E145,parent_events!$B$2:$B$56,parent_events!$J$2:$J$56,"NA")</f>
        <v>1</v>
      </c>
      <c r="N145" s="23" t="str">
        <f>_xlfn.XLOOKUP($E145,parent_events!$B$2:$B$56,parent_events!$K$2:$K$56,"NA")</f>
        <v>decimalMinute</v>
      </c>
      <c r="P145" t="str">
        <f>_xlfn.XLOOKUP($E145,parent_events!$B$2:$B$56,parent_events!$L$2:$L$56,"NA")</f>
        <v>Barsetvatnet_st1</v>
      </c>
      <c r="Q145" t="str">
        <f>_xlfn.XLOOKUP($P145,localities!$B$2:$B$49,localities!$C$2:$C$49,"NA")</f>
        <v>Barsetvatnet</v>
      </c>
      <c r="R145">
        <f>_xlfn.XLOOKUP($P145,localities!$B$2:$B$49,localities!$D$2:$D$49,"NA")</f>
        <v>1</v>
      </c>
      <c r="S145">
        <f>_xlfn.XLOOKUP($P145,localities!$B$2:$B$49,localities!$E$2:$E$49,"NA")</f>
        <v>63.797785500000003</v>
      </c>
      <c r="T145">
        <f>_xlfn.XLOOKUP($P145,localities!$B$2:$B$49,localities!$F$2:$F$49,"NA")</f>
        <v>9.8281852999999995</v>
      </c>
      <c r="U145" t="str">
        <f>_xlfn.XLOOKUP($P145,localities!$B$2:$B$49,localities!$G$2:$G$49,"NA")</f>
        <v>WGS84</v>
      </c>
      <c r="V145">
        <f>_xlfn.XLOOKUP($P145,localities!$B$2:$B$49,localities!$H$2:$H$49,"NA")</f>
        <v>5</v>
      </c>
      <c r="W145" t="str">
        <f>_xlfn.XLOOKUP($P145,localities!$B$2:$B$49,localities!$I$2:$I$49,"NA")</f>
        <v>NOR</v>
      </c>
      <c r="X145" t="str">
        <f>_xlfn.XLOOKUP($P145,localities!$B$2:$B$49,localities!$J$2:$J$49,"NA")</f>
        <v>Norway</v>
      </c>
      <c r="Y145" t="str">
        <f>_xlfn.XLOOKUP($P145,localities!$B$2:$B$49,localities!$K$2:$K$49,"NA")</f>
        <v>Sør-Trøndelag</v>
      </c>
      <c r="Z145" t="str">
        <f>_xlfn.XLOOKUP($P145,localities!$B$2:$B$49,localities!$L$2:$L$49,"NA")</f>
        <v>Ørland</v>
      </c>
    </row>
    <row r="146" spans="2:26" x14ac:dyDescent="0.3">
      <c r="B146" t="s">
        <v>339</v>
      </c>
      <c r="C146" s="23">
        <v>4</v>
      </c>
      <c r="E146" t="s">
        <v>319</v>
      </c>
      <c r="F146" s="19">
        <f>_xlfn.XLOOKUP($E146,parent_events!$B$2:$B$56,parent_events!$C$2:$C$56,"NA")</f>
        <v>45194</v>
      </c>
      <c r="G146">
        <f>_xlfn.XLOOKUP($E146,parent_events!$B$2:$B$56,parent_events!$D$2:$D$56,"NA")</f>
        <v>2023</v>
      </c>
      <c r="H146">
        <f>_xlfn.XLOOKUP($E146,parent_events!$B$2:$B$56,parent_events!$E$2:$E$56,"NA")</f>
        <v>9</v>
      </c>
      <c r="I146">
        <f>_xlfn.XLOOKUP($E146,parent_events!$B$2:$B$56,parent_events!$F$2:$F$56,"NA")</f>
        <v>25</v>
      </c>
      <c r="J146">
        <f>_xlfn.XLOOKUP($E146,parent_events!$B$2:$B$56,parent_events!$G$2:$G$56,"NA")</f>
        <v>6</v>
      </c>
      <c r="K146" t="str">
        <f>_xlfn.XLOOKUP($E146,parent_events!$B$2:$B$56,parent_events!$H$2:$H$56,"NA")</f>
        <v>Rot (1 min)</v>
      </c>
      <c r="L146" t="str">
        <f>_xlfn.XLOOKUP($E146,parent_events!$B$2:$B$56,parent_events!$I$2:$I$56,"NA")</f>
        <v>"5 replicates of 1 minute kick samples"</v>
      </c>
      <c r="M146">
        <f>_xlfn.XLOOKUP($E146,parent_events!$B$2:$B$56,parent_events!$J$2:$J$56,"NA")</f>
        <v>1</v>
      </c>
      <c r="N146" s="23" t="str">
        <f>_xlfn.XLOOKUP($E146,parent_events!$B$2:$B$56,parent_events!$K$2:$K$56,"NA")</f>
        <v>decimalMinute</v>
      </c>
      <c r="P146" t="str">
        <f>_xlfn.XLOOKUP($E146,parent_events!$B$2:$B$56,parent_events!$L$2:$L$56,"NA")</f>
        <v>Barsetvatnet_st1</v>
      </c>
      <c r="Q146" t="str">
        <f>_xlfn.XLOOKUP($P146,localities!$B$2:$B$49,localities!$C$2:$C$49,"NA")</f>
        <v>Barsetvatnet</v>
      </c>
      <c r="R146">
        <f>_xlfn.XLOOKUP($P146,localities!$B$2:$B$49,localities!$D$2:$D$49,"NA")</f>
        <v>1</v>
      </c>
      <c r="S146">
        <f>_xlfn.XLOOKUP($P146,localities!$B$2:$B$49,localities!$E$2:$E$49,"NA")</f>
        <v>63.797785500000003</v>
      </c>
      <c r="T146">
        <f>_xlfn.XLOOKUP($P146,localities!$B$2:$B$49,localities!$F$2:$F$49,"NA")</f>
        <v>9.8281852999999995</v>
      </c>
      <c r="U146" t="str">
        <f>_xlfn.XLOOKUP($P146,localities!$B$2:$B$49,localities!$G$2:$G$49,"NA")</f>
        <v>WGS84</v>
      </c>
      <c r="V146">
        <f>_xlfn.XLOOKUP($P146,localities!$B$2:$B$49,localities!$H$2:$H$49,"NA")</f>
        <v>5</v>
      </c>
      <c r="W146" t="str">
        <f>_xlfn.XLOOKUP($P146,localities!$B$2:$B$49,localities!$I$2:$I$49,"NA")</f>
        <v>NOR</v>
      </c>
      <c r="X146" t="str">
        <f>_xlfn.XLOOKUP($P146,localities!$B$2:$B$49,localities!$J$2:$J$49,"NA")</f>
        <v>Norway</v>
      </c>
      <c r="Y146" t="str">
        <f>_xlfn.XLOOKUP($P146,localities!$B$2:$B$49,localities!$K$2:$K$49,"NA")</f>
        <v>Sør-Trøndelag</v>
      </c>
      <c r="Z146" t="str">
        <f>_xlfn.XLOOKUP($P146,localities!$B$2:$B$49,localities!$L$2:$L$49,"NA")</f>
        <v>Ørland</v>
      </c>
    </row>
    <row r="147" spans="2:26" x14ac:dyDescent="0.3">
      <c r="B147" t="s">
        <v>340</v>
      </c>
      <c r="C147" s="23">
        <v>5</v>
      </c>
      <c r="E147" t="s">
        <v>319</v>
      </c>
      <c r="F147" s="19">
        <f>_xlfn.XLOOKUP($E147,parent_events!$B$2:$B$56,parent_events!$C$2:$C$56,"NA")</f>
        <v>45194</v>
      </c>
      <c r="G147">
        <f>_xlfn.XLOOKUP($E147,parent_events!$B$2:$B$56,parent_events!$D$2:$D$56,"NA")</f>
        <v>2023</v>
      </c>
      <c r="H147">
        <f>_xlfn.XLOOKUP($E147,parent_events!$B$2:$B$56,parent_events!$E$2:$E$56,"NA")</f>
        <v>9</v>
      </c>
      <c r="I147">
        <f>_xlfn.XLOOKUP($E147,parent_events!$B$2:$B$56,parent_events!$F$2:$F$56,"NA")</f>
        <v>25</v>
      </c>
      <c r="J147">
        <f>_xlfn.XLOOKUP($E147,parent_events!$B$2:$B$56,parent_events!$G$2:$G$56,"NA")</f>
        <v>6</v>
      </c>
      <c r="K147" t="str">
        <f>_xlfn.XLOOKUP($E147,parent_events!$B$2:$B$56,parent_events!$H$2:$H$56,"NA")</f>
        <v>Rot (1 min)</v>
      </c>
      <c r="L147" t="str">
        <f>_xlfn.XLOOKUP($E147,parent_events!$B$2:$B$56,parent_events!$I$2:$I$56,"NA")</f>
        <v>"5 replicates of 1 minute kick samples"</v>
      </c>
      <c r="M147">
        <f>_xlfn.XLOOKUP($E147,parent_events!$B$2:$B$56,parent_events!$J$2:$J$56,"NA")</f>
        <v>1</v>
      </c>
      <c r="N147" s="23" t="str">
        <f>_xlfn.XLOOKUP($E147,parent_events!$B$2:$B$56,parent_events!$K$2:$K$56,"NA")</f>
        <v>decimalMinute</v>
      </c>
      <c r="P147" t="str">
        <f>_xlfn.XLOOKUP($E147,parent_events!$B$2:$B$56,parent_events!$L$2:$L$56,"NA")</f>
        <v>Barsetvatnet_st1</v>
      </c>
      <c r="Q147" t="str">
        <f>_xlfn.XLOOKUP($P147,localities!$B$2:$B$49,localities!$C$2:$C$49,"NA")</f>
        <v>Barsetvatnet</v>
      </c>
      <c r="R147">
        <f>_xlfn.XLOOKUP($P147,localities!$B$2:$B$49,localities!$D$2:$D$49,"NA")</f>
        <v>1</v>
      </c>
      <c r="S147">
        <f>_xlfn.XLOOKUP($P147,localities!$B$2:$B$49,localities!$E$2:$E$49,"NA")</f>
        <v>63.797785500000003</v>
      </c>
      <c r="T147">
        <f>_xlfn.XLOOKUP($P147,localities!$B$2:$B$49,localities!$F$2:$F$49,"NA")</f>
        <v>9.8281852999999995</v>
      </c>
      <c r="U147" t="str">
        <f>_xlfn.XLOOKUP($P147,localities!$B$2:$B$49,localities!$G$2:$G$49,"NA")</f>
        <v>WGS84</v>
      </c>
      <c r="V147">
        <f>_xlfn.XLOOKUP($P147,localities!$B$2:$B$49,localities!$H$2:$H$49,"NA")</f>
        <v>5</v>
      </c>
      <c r="W147" t="str">
        <f>_xlfn.XLOOKUP($P147,localities!$B$2:$B$49,localities!$I$2:$I$49,"NA")</f>
        <v>NOR</v>
      </c>
      <c r="X147" t="str">
        <f>_xlfn.XLOOKUP($P147,localities!$B$2:$B$49,localities!$J$2:$J$49,"NA")</f>
        <v>Norway</v>
      </c>
      <c r="Y147" t="str">
        <f>_xlfn.XLOOKUP($P147,localities!$B$2:$B$49,localities!$K$2:$K$49,"NA")</f>
        <v>Sør-Trøndelag</v>
      </c>
      <c r="Z147" t="str">
        <f>_xlfn.XLOOKUP($P147,localities!$B$2:$B$49,localities!$L$2:$L$49,"NA")</f>
        <v>Ørland</v>
      </c>
    </row>
    <row r="148" spans="2:26" x14ac:dyDescent="0.3">
      <c r="B148" t="s">
        <v>341</v>
      </c>
      <c r="C148" s="23">
        <v>1</v>
      </c>
      <c r="E148" t="s">
        <v>320</v>
      </c>
      <c r="F148" s="19">
        <f>_xlfn.XLOOKUP($E148,parent_events!$B$2:$B$56,parent_events!$C$2:$C$56,"NA")</f>
        <v>45194</v>
      </c>
      <c r="G148">
        <f>_xlfn.XLOOKUP($E148,parent_events!$B$2:$B$56,parent_events!$D$2:$D$56,"NA")</f>
        <v>2023</v>
      </c>
      <c r="H148">
        <f>_xlfn.XLOOKUP($E148,parent_events!$B$2:$B$56,parent_events!$E$2:$E$56,"NA")</f>
        <v>9</v>
      </c>
      <c r="I148">
        <f>_xlfn.XLOOKUP($E148,parent_events!$B$2:$B$56,parent_events!$F$2:$F$56,"NA")</f>
        <v>25</v>
      </c>
      <c r="J148">
        <f>_xlfn.XLOOKUP($E148,parent_events!$B$2:$B$56,parent_events!$G$2:$G$56,"NA")</f>
        <v>6</v>
      </c>
      <c r="K148" t="str">
        <f>_xlfn.XLOOKUP($E148,parent_events!$B$2:$B$56,parent_events!$H$2:$H$56,"NA")</f>
        <v>Rot (1 min)</v>
      </c>
      <c r="L148" t="str">
        <f>_xlfn.XLOOKUP($E148,parent_events!$B$2:$B$56,parent_events!$I$2:$I$56,"NA")</f>
        <v>"5 replicates of 1 minute kick samples"</v>
      </c>
      <c r="M148">
        <f>_xlfn.XLOOKUP($E148,parent_events!$B$2:$B$56,parent_events!$J$2:$J$56,"NA")</f>
        <v>1</v>
      </c>
      <c r="N148" s="23" t="str">
        <f>_xlfn.XLOOKUP($E148,parent_events!$B$2:$B$56,parent_events!$K$2:$K$56,"NA")</f>
        <v>decimalMinute</v>
      </c>
      <c r="P148" t="str">
        <f>_xlfn.XLOOKUP($E148,parent_events!$B$2:$B$56,parent_events!$L$2:$L$56,"NA")</f>
        <v>Roksetvatnet_st1</v>
      </c>
      <c r="Q148" t="str">
        <f>_xlfn.XLOOKUP($P148,localities!$B$2:$B$49,localities!$C$2:$C$49,"NA")</f>
        <v>Roksetvatnet</v>
      </c>
      <c r="R148">
        <f>_xlfn.XLOOKUP($P148,localities!$B$2:$B$49,localities!$D$2:$D$49,"NA")</f>
        <v>1</v>
      </c>
      <c r="S148">
        <f>_xlfn.XLOOKUP($P148,localities!$B$2:$B$49,localities!$E$2:$E$49,"NA")</f>
        <v>63.654024200000002</v>
      </c>
      <c r="T148">
        <f>_xlfn.XLOOKUP($P148,localities!$B$2:$B$49,localities!$F$2:$F$49,"NA")</f>
        <v>10.066431400000001</v>
      </c>
      <c r="U148" t="str">
        <f>_xlfn.XLOOKUP($P148,localities!$B$2:$B$49,localities!$G$2:$G$49,"NA")</f>
        <v>WGS84</v>
      </c>
      <c r="V148">
        <f>_xlfn.XLOOKUP($P148,localities!$B$2:$B$49,localities!$H$2:$H$49,"NA")</f>
        <v>5</v>
      </c>
      <c r="W148" t="str">
        <f>_xlfn.XLOOKUP($P148,localities!$B$2:$B$49,localities!$I$2:$I$49,"NA")</f>
        <v>NOR</v>
      </c>
      <c r="X148" t="str">
        <f>_xlfn.XLOOKUP($P148,localities!$B$2:$B$49,localities!$J$2:$J$49,"NA")</f>
        <v>Norway</v>
      </c>
      <c r="Y148" t="str">
        <f>_xlfn.XLOOKUP($P148,localities!$B$2:$B$49,localities!$K$2:$K$49,"NA")</f>
        <v>Sør-Trøndelag</v>
      </c>
      <c r="Z148" t="str">
        <f>_xlfn.XLOOKUP($P148,localities!$B$2:$B$49,localities!$L$2:$L$49,"NA")</f>
        <v>Indre Fosen</v>
      </c>
    </row>
    <row r="149" spans="2:26" x14ac:dyDescent="0.3">
      <c r="B149" t="s">
        <v>342</v>
      </c>
      <c r="C149" s="23">
        <v>2</v>
      </c>
      <c r="E149" t="s">
        <v>320</v>
      </c>
      <c r="F149" s="19">
        <f>_xlfn.XLOOKUP($E149,parent_events!$B$2:$B$56,parent_events!$C$2:$C$56,"NA")</f>
        <v>45194</v>
      </c>
      <c r="G149">
        <f>_xlfn.XLOOKUP($E149,parent_events!$B$2:$B$56,parent_events!$D$2:$D$56,"NA")</f>
        <v>2023</v>
      </c>
      <c r="H149">
        <f>_xlfn.XLOOKUP($E149,parent_events!$B$2:$B$56,parent_events!$E$2:$E$56,"NA")</f>
        <v>9</v>
      </c>
      <c r="I149">
        <f>_xlfn.XLOOKUP($E149,parent_events!$B$2:$B$56,parent_events!$F$2:$F$56,"NA")</f>
        <v>25</v>
      </c>
      <c r="J149">
        <f>_xlfn.XLOOKUP($E149,parent_events!$B$2:$B$56,parent_events!$G$2:$G$56,"NA")</f>
        <v>6</v>
      </c>
      <c r="K149" t="str">
        <f>_xlfn.XLOOKUP($E149,parent_events!$B$2:$B$56,parent_events!$H$2:$H$56,"NA")</f>
        <v>Rot (1 min)</v>
      </c>
      <c r="L149" t="str">
        <f>_xlfn.XLOOKUP($E149,parent_events!$B$2:$B$56,parent_events!$I$2:$I$56,"NA")</f>
        <v>"5 replicates of 1 minute kick samples"</v>
      </c>
      <c r="M149">
        <f>_xlfn.XLOOKUP($E149,parent_events!$B$2:$B$56,parent_events!$J$2:$J$56,"NA")</f>
        <v>1</v>
      </c>
      <c r="N149" s="23" t="str">
        <f>_xlfn.XLOOKUP($E149,parent_events!$B$2:$B$56,parent_events!$K$2:$K$56,"NA")</f>
        <v>decimalMinute</v>
      </c>
      <c r="P149" t="str">
        <f>_xlfn.XLOOKUP($E149,parent_events!$B$2:$B$56,parent_events!$L$2:$L$56,"NA")</f>
        <v>Roksetvatnet_st1</v>
      </c>
      <c r="Q149" t="str">
        <f>_xlfn.XLOOKUP($P149,localities!$B$2:$B$49,localities!$C$2:$C$49,"NA")</f>
        <v>Roksetvatnet</v>
      </c>
      <c r="R149">
        <f>_xlfn.XLOOKUP($P149,localities!$B$2:$B$49,localities!$D$2:$D$49,"NA")</f>
        <v>1</v>
      </c>
      <c r="S149">
        <f>_xlfn.XLOOKUP($P149,localities!$B$2:$B$49,localities!$E$2:$E$49,"NA")</f>
        <v>63.654024200000002</v>
      </c>
      <c r="T149">
        <f>_xlfn.XLOOKUP($P149,localities!$B$2:$B$49,localities!$F$2:$F$49,"NA")</f>
        <v>10.066431400000001</v>
      </c>
      <c r="U149" t="str">
        <f>_xlfn.XLOOKUP($P149,localities!$B$2:$B$49,localities!$G$2:$G$49,"NA")</f>
        <v>WGS84</v>
      </c>
      <c r="V149">
        <f>_xlfn.XLOOKUP($P149,localities!$B$2:$B$49,localities!$H$2:$H$49,"NA")</f>
        <v>5</v>
      </c>
      <c r="W149" t="str">
        <f>_xlfn.XLOOKUP($P149,localities!$B$2:$B$49,localities!$I$2:$I$49,"NA")</f>
        <v>NOR</v>
      </c>
      <c r="X149" t="str">
        <f>_xlfn.XLOOKUP($P149,localities!$B$2:$B$49,localities!$J$2:$J$49,"NA")</f>
        <v>Norway</v>
      </c>
      <c r="Y149" t="str">
        <f>_xlfn.XLOOKUP($P149,localities!$B$2:$B$49,localities!$K$2:$K$49,"NA")</f>
        <v>Sør-Trøndelag</v>
      </c>
      <c r="Z149" t="str">
        <f>_xlfn.XLOOKUP($P149,localities!$B$2:$B$49,localities!$L$2:$L$49,"NA")</f>
        <v>Indre Fosen</v>
      </c>
    </row>
    <row r="150" spans="2:26" x14ac:dyDescent="0.3">
      <c r="B150" t="s">
        <v>343</v>
      </c>
      <c r="C150" s="23">
        <v>3</v>
      </c>
      <c r="E150" t="s">
        <v>320</v>
      </c>
      <c r="F150" s="19">
        <f>_xlfn.XLOOKUP($E150,parent_events!$B$2:$B$56,parent_events!$C$2:$C$56,"NA")</f>
        <v>45194</v>
      </c>
      <c r="G150">
        <f>_xlfn.XLOOKUP($E150,parent_events!$B$2:$B$56,parent_events!$D$2:$D$56,"NA")</f>
        <v>2023</v>
      </c>
      <c r="H150">
        <f>_xlfn.XLOOKUP($E150,parent_events!$B$2:$B$56,parent_events!$E$2:$E$56,"NA")</f>
        <v>9</v>
      </c>
      <c r="I150">
        <f>_xlfn.XLOOKUP($E150,parent_events!$B$2:$B$56,parent_events!$F$2:$F$56,"NA")</f>
        <v>25</v>
      </c>
      <c r="J150">
        <f>_xlfn.XLOOKUP($E150,parent_events!$B$2:$B$56,parent_events!$G$2:$G$56,"NA")</f>
        <v>6</v>
      </c>
      <c r="K150" t="str">
        <f>_xlfn.XLOOKUP($E150,parent_events!$B$2:$B$56,parent_events!$H$2:$H$56,"NA")</f>
        <v>Rot (1 min)</v>
      </c>
      <c r="L150" t="str">
        <f>_xlfn.XLOOKUP($E150,parent_events!$B$2:$B$56,parent_events!$I$2:$I$56,"NA")</f>
        <v>"5 replicates of 1 minute kick samples"</v>
      </c>
      <c r="M150">
        <f>_xlfn.XLOOKUP($E150,parent_events!$B$2:$B$56,parent_events!$J$2:$J$56,"NA")</f>
        <v>1</v>
      </c>
      <c r="N150" s="23" t="str">
        <f>_xlfn.XLOOKUP($E150,parent_events!$B$2:$B$56,parent_events!$K$2:$K$56,"NA")</f>
        <v>decimalMinute</v>
      </c>
      <c r="P150" t="str">
        <f>_xlfn.XLOOKUP($E150,parent_events!$B$2:$B$56,parent_events!$L$2:$L$56,"NA")</f>
        <v>Roksetvatnet_st1</v>
      </c>
      <c r="Q150" t="str">
        <f>_xlfn.XLOOKUP($P150,localities!$B$2:$B$49,localities!$C$2:$C$49,"NA")</f>
        <v>Roksetvatnet</v>
      </c>
      <c r="R150">
        <f>_xlfn.XLOOKUP($P150,localities!$B$2:$B$49,localities!$D$2:$D$49,"NA")</f>
        <v>1</v>
      </c>
      <c r="S150">
        <f>_xlfn.XLOOKUP($P150,localities!$B$2:$B$49,localities!$E$2:$E$49,"NA")</f>
        <v>63.654024200000002</v>
      </c>
      <c r="T150">
        <f>_xlfn.XLOOKUP($P150,localities!$B$2:$B$49,localities!$F$2:$F$49,"NA")</f>
        <v>10.066431400000001</v>
      </c>
      <c r="U150" t="str">
        <f>_xlfn.XLOOKUP($P150,localities!$B$2:$B$49,localities!$G$2:$G$49,"NA")</f>
        <v>WGS84</v>
      </c>
      <c r="V150">
        <f>_xlfn.XLOOKUP($P150,localities!$B$2:$B$49,localities!$H$2:$H$49,"NA")</f>
        <v>5</v>
      </c>
      <c r="W150" t="str">
        <f>_xlfn.XLOOKUP($P150,localities!$B$2:$B$49,localities!$I$2:$I$49,"NA")</f>
        <v>NOR</v>
      </c>
      <c r="X150" t="str">
        <f>_xlfn.XLOOKUP($P150,localities!$B$2:$B$49,localities!$J$2:$J$49,"NA")</f>
        <v>Norway</v>
      </c>
      <c r="Y150" t="str">
        <f>_xlfn.XLOOKUP($P150,localities!$B$2:$B$49,localities!$K$2:$K$49,"NA")</f>
        <v>Sør-Trøndelag</v>
      </c>
      <c r="Z150" t="str">
        <f>_xlfn.XLOOKUP($P150,localities!$B$2:$B$49,localities!$L$2:$L$49,"NA")</f>
        <v>Indre Fosen</v>
      </c>
    </row>
    <row r="151" spans="2:26" x14ac:dyDescent="0.3">
      <c r="B151" t="s">
        <v>344</v>
      </c>
      <c r="C151" s="23">
        <v>4</v>
      </c>
      <c r="E151" t="s">
        <v>320</v>
      </c>
      <c r="F151" s="19">
        <f>_xlfn.XLOOKUP($E151,parent_events!$B$2:$B$56,parent_events!$C$2:$C$56,"NA")</f>
        <v>45194</v>
      </c>
      <c r="G151">
        <f>_xlfn.XLOOKUP($E151,parent_events!$B$2:$B$56,parent_events!$D$2:$D$56,"NA")</f>
        <v>2023</v>
      </c>
      <c r="H151">
        <f>_xlfn.XLOOKUP($E151,parent_events!$B$2:$B$56,parent_events!$E$2:$E$56,"NA")</f>
        <v>9</v>
      </c>
      <c r="I151">
        <f>_xlfn.XLOOKUP($E151,parent_events!$B$2:$B$56,parent_events!$F$2:$F$56,"NA")</f>
        <v>25</v>
      </c>
      <c r="J151">
        <f>_xlfn.XLOOKUP($E151,parent_events!$B$2:$B$56,parent_events!$G$2:$G$56,"NA")</f>
        <v>6</v>
      </c>
      <c r="K151" t="str">
        <f>_xlfn.XLOOKUP($E151,parent_events!$B$2:$B$56,parent_events!$H$2:$H$56,"NA")</f>
        <v>Rot (1 min)</v>
      </c>
      <c r="L151" t="str">
        <f>_xlfn.XLOOKUP($E151,parent_events!$B$2:$B$56,parent_events!$I$2:$I$56,"NA")</f>
        <v>"5 replicates of 1 minute kick samples"</v>
      </c>
      <c r="M151">
        <f>_xlfn.XLOOKUP($E151,parent_events!$B$2:$B$56,parent_events!$J$2:$J$56,"NA")</f>
        <v>1</v>
      </c>
      <c r="N151" s="23" t="str">
        <f>_xlfn.XLOOKUP($E151,parent_events!$B$2:$B$56,parent_events!$K$2:$K$56,"NA")</f>
        <v>decimalMinute</v>
      </c>
      <c r="P151" t="str">
        <f>_xlfn.XLOOKUP($E151,parent_events!$B$2:$B$56,parent_events!$L$2:$L$56,"NA")</f>
        <v>Roksetvatnet_st1</v>
      </c>
      <c r="Q151" t="str">
        <f>_xlfn.XLOOKUP($P151,localities!$B$2:$B$49,localities!$C$2:$C$49,"NA")</f>
        <v>Roksetvatnet</v>
      </c>
      <c r="R151">
        <f>_xlfn.XLOOKUP($P151,localities!$B$2:$B$49,localities!$D$2:$D$49,"NA")</f>
        <v>1</v>
      </c>
      <c r="S151">
        <f>_xlfn.XLOOKUP($P151,localities!$B$2:$B$49,localities!$E$2:$E$49,"NA")</f>
        <v>63.654024200000002</v>
      </c>
      <c r="T151">
        <f>_xlfn.XLOOKUP($P151,localities!$B$2:$B$49,localities!$F$2:$F$49,"NA")</f>
        <v>10.066431400000001</v>
      </c>
      <c r="U151" t="str">
        <f>_xlfn.XLOOKUP($P151,localities!$B$2:$B$49,localities!$G$2:$G$49,"NA")</f>
        <v>WGS84</v>
      </c>
      <c r="V151">
        <f>_xlfn.XLOOKUP($P151,localities!$B$2:$B$49,localities!$H$2:$H$49,"NA")</f>
        <v>5</v>
      </c>
      <c r="W151" t="str">
        <f>_xlfn.XLOOKUP($P151,localities!$B$2:$B$49,localities!$I$2:$I$49,"NA")</f>
        <v>NOR</v>
      </c>
      <c r="X151" t="str">
        <f>_xlfn.XLOOKUP($P151,localities!$B$2:$B$49,localities!$J$2:$J$49,"NA")</f>
        <v>Norway</v>
      </c>
      <c r="Y151" t="str">
        <f>_xlfn.XLOOKUP($P151,localities!$B$2:$B$49,localities!$K$2:$K$49,"NA")</f>
        <v>Sør-Trøndelag</v>
      </c>
      <c r="Z151" t="str">
        <f>_xlfn.XLOOKUP($P151,localities!$B$2:$B$49,localities!$L$2:$L$49,"NA")</f>
        <v>Indre Fosen</v>
      </c>
    </row>
    <row r="152" spans="2:26" x14ac:dyDescent="0.3">
      <c r="B152" t="s">
        <v>345</v>
      </c>
      <c r="C152" s="23">
        <v>5</v>
      </c>
      <c r="E152" t="s">
        <v>320</v>
      </c>
      <c r="F152" s="19">
        <f>_xlfn.XLOOKUP($E152,parent_events!$B$2:$B$56,parent_events!$C$2:$C$56,"NA")</f>
        <v>45194</v>
      </c>
      <c r="G152">
        <f>_xlfn.XLOOKUP($E152,parent_events!$B$2:$B$56,parent_events!$D$2:$D$56,"NA")</f>
        <v>2023</v>
      </c>
      <c r="H152">
        <f>_xlfn.XLOOKUP($E152,parent_events!$B$2:$B$56,parent_events!$E$2:$E$56,"NA")</f>
        <v>9</v>
      </c>
      <c r="I152">
        <f>_xlfn.XLOOKUP($E152,parent_events!$B$2:$B$56,parent_events!$F$2:$F$56,"NA")</f>
        <v>25</v>
      </c>
      <c r="J152">
        <f>_xlfn.XLOOKUP($E152,parent_events!$B$2:$B$56,parent_events!$G$2:$G$56,"NA")</f>
        <v>6</v>
      </c>
      <c r="K152" t="str">
        <f>_xlfn.XLOOKUP($E152,parent_events!$B$2:$B$56,parent_events!$H$2:$H$56,"NA")</f>
        <v>Rot (1 min)</v>
      </c>
      <c r="L152" t="str">
        <f>_xlfn.XLOOKUP($E152,parent_events!$B$2:$B$56,parent_events!$I$2:$I$56,"NA")</f>
        <v>"5 replicates of 1 minute kick samples"</v>
      </c>
      <c r="M152">
        <f>_xlfn.XLOOKUP($E152,parent_events!$B$2:$B$56,parent_events!$J$2:$J$56,"NA")</f>
        <v>1</v>
      </c>
      <c r="N152" s="23" t="str">
        <f>_xlfn.XLOOKUP($E152,parent_events!$B$2:$B$56,parent_events!$K$2:$K$56,"NA")</f>
        <v>decimalMinute</v>
      </c>
      <c r="P152" t="str">
        <f>_xlfn.XLOOKUP($E152,parent_events!$B$2:$B$56,parent_events!$L$2:$L$56,"NA")</f>
        <v>Roksetvatnet_st1</v>
      </c>
      <c r="Q152" t="str">
        <f>_xlfn.XLOOKUP($P152,localities!$B$2:$B$49,localities!$C$2:$C$49,"NA")</f>
        <v>Roksetvatnet</v>
      </c>
      <c r="R152">
        <f>_xlfn.XLOOKUP($P152,localities!$B$2:$B$49,localities!$D$2:$D$49,"NA")</f>
        <v>1</v>
      </c>
      <c r="S152">
        <f>_xlfn.XLOOKUP($P152,localities!$B$2:$B$49,localities!$E$2:$E$49,"NA")</f>
        <v>63.654024200000002</v>
      </c>
      <c r="T152">
        <f>_xlfn.XLOOKUP($P152,localities!$B$2:$B$49,localities!$F$2:$F$49,"NA")</f>
        <v>10.066431400000001</v>
      </c>
      <c r="U152" t="str">
        <f>_xlfn.XLOOKUP($P152,localities!$B$2:$B$49,localities!$G$2:$G$49,"NA")</f>
        <v>WGS84</v>
      </c>
      <c r="V152">
        <f>_xlfn.XLOOKUP($P152,localities!$B$2:$B$49,localities!$H$2:$H$49,"NA")</f>
        <v>5</v>
      </c>
      <c r="W152" t="str">
        <f>_xlfn.XLOOKUP($P152,localities!$B$2:$B$49,localities!$I$2:$I$49,"NA")</f>
        <v>NOR</v>
      </c>
      <c r="X152" t="str">
        <f>_xlfn.XLOOKUP($P152,localities!$B$2:$B$49,localities!$J$2:$J$49,"NA")</f>
        <v>Norway</v>
      </c>
      <c r="Y152" t="str">
        <f>_xlfn.XLOOKUP($P152,localities!$B$2:$B$49,localities!$K$2:$K$49,"NA")</f>
        <v>Sør-Trøndelag</v>
      </c>
      <c r="Z152" t="str">
        <f>_xlfn.XLOOKUP($P152,localities!$B$2:$B$49,localities!$L$2:$L$49,"NA")</f>
        <v>Indre Fosen</v>
      </c>
    </row>
    <row r="153" spans="2:26" x14ac:dyDescent="0.3">
      <c r="B153" t="s">
        <v>227</v>
      </c>
      <c r="C153" s="23">
        <v>1</v>
      </c>
      <c r="E153" t="s">
        <v>62</v>
      </c>
      <c r="F153" s="19">
        <f>_xlfn.XLOOKUP($E153,parent_events!$B$2:$B$56,parent_events!$C$2:$C$56,"NA")</f>
        <v>45419</v>
      </c>
      <c r="G153">
        <f>_xlfn.XLOOKUP($E153,parent_events!$B$2:$B$56,parent_events!$D$2:$D$56,"NA")</f>
        <v>2024</v>
      </c>
      <c r="H153">
        <f>_xlfn.XLOOKUP($E153,parent_events!$B$2:$B$56,parent_events!$E$2:$E$56,"NA")</f>
        <v>5</v>
      </c>
      <c r="I153">
        <f>_xlfn.XLOOKUP($E153,parent_events!$B$2:$B$56,parent_events!$F$2:$F$56,"NA")</f>
        <v>7</v>
      </c>
      <c r="J153">
        <f>_xlfn.XLOOKUP($E153,parent_events!$B$2:$B$56,parent_events!$G$2:$G$56,"NA")</f>
        <v>1</v>
      </c>
      <c r="K153" t="str">
        <f>_xlfn.XLOOKUP($E153,parent_events!$B$2:$B$56,parent_events!$H$2:$H$56,"NA")</f>
        <v>Rot (1 min)</v>
      </c>
      <c r="L153" t="str">
        <f>_xlfn.XLOOKUP($E153,parent_events!$B$2:$B$56,parent_events!$I$2:$I$56,"NA")</f>
        <v>"3 replicates of 1 minute kick samples"</v>
      </c>
      <c r="M153">
        <f>_xlfn.XLOOKUP($E153,parent_events!$B$2:$B$56,parent_events!$J$2:$J$56,"NA")</f>
        <v>1</v>
      </c>
      <c r="N153" s="23" t="str">
        <f>_xlfn.XLOOKUP($E153,parent_events!$B$2:$B$56,parent_events!$K$2:$K$56,"NA")</f>
        <v>decimalMinute</v>
      </c>
      <c r="P153" t="str">
        <f>_xlfn.XLOOKUP($E153,parent_events!$B$2:$B$56,parent_events!$L$2:$L$56,"NA")</f>
        <v>Gjoljavatnet_st1</v>
      </c>
      <c r="Q153" t="str">
        <f>_xlfn.XLOOKUP($P153,localities!$B$2:$B$49,localities!$C$2:$C$49,"NA")</f>
        <v>Gjøljavatnet</v>
      </c>
      <c r="R153">
        <f>_xlfn.XLOOKUP($P153,localities!$B$2:$B$49,localities!$D$2:$D$49,"NA")</f>
        <v>1</v>
      </c>
      <c r="S153">
        <f>_xlfn.XLOOKUP($P153,localities!$B$2:$B$49,localities!$E$2:$E$49,"NA")</f>
        <v>63.789260900000002</v>
      </c>
      <c r="T153">
        <f>_xlfn.XLOOKUP($P153,localities!$B$2:$B$49,localities!$F$2:$F$49,"NA")</f>
        <v>10.0251734</v>
      </c>
      <c r="U153" t="str">
        <f>_xlfn.XLOOKUP($P153,localities!$B$2:$B$49,localities!$G$2:$G$49,"NA")</f>
        <v>WGS84</v>
      </c>
      <c r="V153">
        <f>_xlfn.XLOOKUP($P153,localities!$B$2:$B$49,localities!$H$2:$H$49,"NA")</f>
        <v>5</v>
      </c>
      <c r="W153" t="str">
        <f>_xlfn.XLOOKUP($P153,localities!$B$2:$B$49,localities!$I$2:$I$49,"NA")</f>
        <v>NOR</v>
      </c>
      <c r="X153" t="str">
        <f>_xlfn.XLOOKUP($P153,localities!$B$2:$B$49,localities!$J$2:$J$49,"NA")</f>
        <v>Norway</v>
      </c>
      <c r="Y153" t="str">
        <f>_xlfn.XLOOKUP($P153,localities!$B$2:$B$49,localities!$K$2:$K$49,"NA")</f>
        <v>Sør-Trøndelag</v>
      </c>
      <c r="Z153" t="str">
        <f>_xlfn.XLOOKUP($P153,localities!$B$2:$B$49,localities!$L$2:$L$49,"NA")</f>
        <v>Indre Fosen</v>
      </c>
    </row>
    <row r="154" spans="2:26" x14ac:dyDescent="0.3">
      <c r="B154" t="s">
        <v>228</v>
      </c>
      <c r="C154" s="23">
        <v>2</v>
      </c>
      <c r="E154" t="s">
        <v>62</v>
      </c>
      <c r="F154" s="19">
        <f>_xlfn.XLOOKUP($E154,parent_events!$B$2:$B$56,parent_events!$C$2:$C$56,"NA")</f>
        <v>45419</v>
      </c>
      <c r="G154">
        <f>_xlfn.XLOOKUP($E154,parent_events!$B$2:$B$56,parent_events!$D$2:$D$56,"NA")</f>
        <v>2024</v>
      </c>
      <c r="H154">
        <f>_xlfn.XLOOKUP($E154,parent_events!$B$2:$B$56,parent_events!$E$2:$E$56,"NA")</f>
        <v>5</v>
      </c>
      <c r="I154">
        <f>_xlfn.XLOOKUP($E154,parent_events!$B$2:$B$56,parent_events!$F$2:$F$56,"NA")</f>
        <v>7</v>
      </c>
      <c r="J154">
        <f>_xlfn.XLOOKUP($E154,parent_events!$B$2:$B$56,parent_events!$G$2:$G$56,"NA")</f>
        <v>1</v>
      </c>
      <c r="K154" t="str">
        <f>_xlfn.XLOOKUP($E154,parent_events!$B$2:$B$56,parent_events!$H$2:$H$56,"NA")</f>
        <v>Rot (1 min)</v>
      </c>
      <c r="L154" t="str">
        <f>_xlfn.XLOOKUP($E154,parent_events!$B$2:$B$56,parent_events!$I$2:$I$56,"NA")</f>
        <v>"3 replicates of 1 minute kick samples"</v>
      </c>
      <c r="M154">
        <f>_xlfn.XLOOKUP($E154,parent_events!$B$2:$B$56,parent_events!$J$2:$J$56,"NA")</f>
        <v>1</v>
      </c>
      <c r="N154" s="23" t="str">
        <f>_xlfn.XLOOKUP($E154,parent_events!$B$2:$B$56,parent_events!$K$2:$K$56,"NA")</f>
        <v>decimalMinute</v>
      </c>
      <c r="P154" t="str">
        <f>_xlfn.XLOOKUP($E154,parent_events!$B$2:$B$56,parent_events!$L$2:$L$56,"NA")</f>
        <v>Gjoljavatnet_st1</v>
      </c>
      <c r="Q154" t="str">
        <f>_xlfn.XLOOKUP($P154,localities!$B$2:$B$49,localities!$C$2:$C$49,"NA")</f>
        <v>Gjøljavatnet</v>
      </c>
      <c r="R154">
        <f>_xlfn.XLOOKUP($P154,localities!$B$2:$B$49,localities!$D$2:$D$49,"NA")</f>
        <v>1</v>
      </c>
      <c r="S154">
        <f>_xlfn.XLOOKUP($P154,localities!$B$2:$B$49,localities!$E$2:$E$49,"NA")</f>
        <v>63.789260900000002</v>
      </c>
      <c r="T154">
        <f>_xlfn.XLOOKUP($P154,localities!$B$2:$B$49,localities!$F$2:$F$49,"NA")</f>
        <v>10.0251734</v>
      </c>
      <c r="U154" t="str">
        <f>_xlfn.XLOOKUP($P154,localities!$B$2:$B$49,localities!$G$2:$G$49,"NA")</f>
        <v>WGS84</v>
      </c>
      <c r="V154">
        <f>_xlfn.XLOOKUP($P154,localities!$B$2:$B$49,localities!$H$2:$H$49,"NA")</f>
        <v>5</v>
      </c>
      <c r="W154" t="str">
        <f>_xlfn.XLOOKUP($P154,localities!$B$2:$B$49,localities!$I$2:$I$49,"NA")</f>
        <v>NOR</v>
      </c>
      <c r="X154" t="str">
        <f>_xlfn.XLOOKUP($P154,localities!$B$2:$B$49,localities!$J$2:$J$49,"NA")</f>
        <v>Norway</v>
      </c>
      <c r="Y154" t="str">
        <f>_xlfn.XLOOKUP($P154,localities!$B$2:$B$49,localities!$K$2:$K$49,"NA")</f>
        <v>Sør-Trøndelag</v>
      </c>
      <c r="Z154" t="str">
        <f>_xlfn.XLOOKUP($P154,localities!$B$2:$B$49,localities!$L$2:$L$49,"NA")</f>
        <v>Indre Fosen</v>
      </c>
    </row>
    <row r="155" spans="2:26" x14ac:dyDescent="0.3">
      <c r="B155" t="s">
        <v>229</v>
      </c>
      <c r="C155" s="23">
        <v>3</v>
      </c>
      <c r="E155" t="s">
        <v>62</v>
      </c>
      <c r="F155" s="19">
        <f>_xlfn.XLOOKUP($E155,parent_events!$B$2:$B$56,parent_events!$C$2:$C$56,"NA")</f>
        <v>45419</v>
      </c>
      <c r="G155">
        <f>_xlfn.XLOOKUP($E155,parent_events!$B$2:$B$56,parent_events!$D$2:$D$56,"NA")</f>
        <v>2024</v>
      </c>
      <c r="H155">
        <f>_xlfn.XLOOKUP($E155,parent_events!$B$2:$B$56,parent_events!$E$2:$E$56,"NA")</f>
        <v>5</v>
      </c>
      <c r="I155">
        <f>_xlfn.XLOOKUP($E155,parent_events!$B$2:$B$56,parent_events!$F$2:$F$56,"NA")</f>
        <v>7</v>
      </c>
      <c r="J155">
        <f>_xlfn.XLOOKUP($E155,parent_events!$B$2:$B$56,parent_events!$G$2:$G$56,"NA")</f>
        <v>1</v>
      </c>
      <c r="K155" t="str">
        <f>_xlfn.XLOOKUP($E155,parent_events!$B$2:$B$56,parent_events!$H$2:$H$56,"NA")</f>
        <v>Rot (1 min)</v>
      </c>
      <c r="L155" t="str">
        <f>_xlfn.XLOOKUP($E155,parent_events!$B$2:$B$56,parent_events!$I$2:$I$56,"NA")</f>
        <v>"3 replicates of 1 minute kick samples"</v>
      </c>
      <c r="M155">
        <f>_xlfn.XLOOKUP($E155,parent_events!$B$2:$B$56,parent_events!$J$2:$J$56,"NA")</f>
        <v>1</v>
      </c>
      <c r="N155" s="23" t="str">
        <f>_xlfn.XLOOKUP($E155,parent_events!$B$2:$B$56,parent_events!$K$2:$K$56,"NA")</f>
        <v>decimalMinute</v>
      </c>
      <c r="P155" t="str">
        <f>_xlfn.XLOOKUP($E155,parent_events!$B$2:$B$56,parent_events!$L$2:$L$56,"NA")</f>
        <v>Gjoljavatnet_st1</v>
      </c>
      <c r="Q155" t="str">
        <f>_xlfn.XLOOKUP($P155,localities!$B$2:$B$49,localities!$C$2:$C$49,"NA")</f>
        <v>Gjøljavatnet</v>
      </c>
      <c r="R155">
        <f>_xlfn.XLOOKUP($P155,localities!$B$2:$B$49,localities!$D$2:$D$49,"NA")</f>
        <v>1</v>
      </c>
      <c r="S155">
        <f>_xlfn.XLOOKUP($P155,localities!$B$2:$B$49,localities!$E$2:$E$49,"NA")</f>
        <v>63.789260900000002</v>
      </c>
      <c r="T155">
        <f>_xlfn.XLOOKUP($P155,localities!$B$2:$B$49,localities!$F$2:$F$49,"NA")</f>
        <v>10.0251734</v>
      </c>
      <c r="U155" t="str">
        <f>_xlfn.XLOOKUP($P155,localities!$B$2:$B$49,localities!$G$2:$G$49,"NA")</f>
        <v>WGS84</v>
      </c>
      <c r="V155">
        <f>_xlfn.XLOOKUP($P155,localities!$B$2:$B$49,localities!$H$2:$H$49,"NA")</f>
        <v>5</v>
      </c>
      <c r="W155" t="str">
        <f>_xlfn.XLOOKUP($P155,localities!$B$2:$B$49,localities!$I$2:$I$49,"NA")</f>
        <v>NOR</v>
      </c>
      <c r="X155" t="str">
        <f>_xlfn.XLOOKUP($P155,localities!$B$2:$B$49,localities!$J$2:$J$49,"NA")</f>
        <v>Norway</v>
      </c>
      <c r="Y155" t="str">
        <f>_xlfn.XLOOKUP($P155,localities!$B$2:$B$49,localities!$K$2:$K$49,"NA")</f>
        <v>Sør-Trøndelag</v>
      </c>
      <c r="Z155" t="str">
        <f>_xlfn.XLOOKUP($P155,localities!$B$2:$B$49,localities!$L$2:$L$49,"NA")</f>
        <v>Indre Fosen</v>
      </c>
    </row>
    <row r="156" spans="2:26" x14ac:dyDescent="0.3">
      <c r="B156" t="s">
        <v>230</v>
      </c>
      <c r="C156" s="23">
        <v>1</v>
      </c>
      <c r="E156" t="s">
        <v>63</v>
      </c>
      <c r="F156" s="19">
        <f>_xlfn.XLOOKUP($E156,parent_events!$B$2:$B$56,parent_events!$C$2:$C$56,"NA")</f>
        <v>45419</v>
      </c>
      <c r="G156">
        <f>_xlfn.XLOOKUP($E156,parent_events!$B$2:$B$56,parent_events!$D$2:$D$56,"NA")</f>
        <v>2024</v>
      </c>
      <c r="H156">
        <f>_xlfn.XLOOKUP($E156,parent_events!$B$2:$B$56,parent_events!$E$2:$E$56,"NA")</f>
        <v>5</v>
      </c>
      <c r="I156">
        <f>_xlfn.XLOOKUP($E156,parent_events!$B$2:$B$56,parent_events!$F$2:$F$56,"NA")</f>
        <v>7</v>
      </c>
      <c r="J156">
        <f>_xlfn.XLOOKUP($E156,parent_events!$B$2:$B$56,parent_events!$G$2:$G$56,"NA")</f>
        <v>1</v>
      </c>
      <c r="K156" t="str">
        <f>_xlfn.XLOOKUP($E156,parent_events!$B$2:$B$56,parent_events!$H$2:$H$56,"NA")</f>
        <v>Rot (1 min)</v>
      </c>
      <c r="L156" t="str">
        <f>_xlfn.XLOOKUP($E156,parent_events!$B$2:$B$56,parent_events!$I$2:$I$56,"NA")</f>
        <v>"3 replicates of 1 minute kick samples"</v>
      </c>
      <c r="M156">
        <f>_xlfn.XLOOKUP($E156,parent_events!$B$2:$B$56,parent_events!$J$2:$J$56,"NA")</f>
        <v>1</v>
      </c>
      <c r="N156" s="23" t="str">
        <f>_xlfn.XLOOKUP($E156,parent_events!$B$2:$B$56,parent_events!$K$2:$K$56,"NA")</f>
        <v>decimalMinute</v>
      </c>
      <c r="P156" t="str">
        <f>_xlfn.XLOOKUP($E156,parent_events!$B$2:$B$56,parent_events!$L$2:$L$56,"NA")</f>
        <v>Roksetvatnet_st1</v>
      </c>
      <c r="Q156" t="str">
        <f>_xlfn.XLOOKUP($P156,localities!$B$2:$B$49,localities!$C$2:$C$49,"NA")</f>
        <v>Roksetvatnet</v>
      </c>
      <c r="R156">
        <f>_xlfn.XLOOKUP($P156,localities!$B$2:$B$49,localities!$D$2:$D$49,"NA")</f>
        <v>1</v>
      </c>
      <c r="S156">
        <f>_xlfn.XLOOKUP($P156,localities!$B$2:$B$49,localities!$E$2:$E$49,"NA")</f>
        <v>63.654024200000002</v>
      </c>
      <c r="T156">
        <f>_xlfn.XLOOKUP($P156,localities!$B$2:$B$49,localities!$F$2:$F$49,"NA")</f>
        <v>10.066431400000001</v>
      </c>
      <c r="U156" t="str">
        <f>_xlfn.XLOOKUP($P156,localities!$B$2:$B$49,localities!$G$2:$G$49,"NA")</f>
        <v>WGS84</v>
      </c>
      <c r="V156">
        <f>_xlfn.XLOOKUP($P156,localities!$B$2:$B$49,localities!$H$2:$H$49,"NA")</f>
        <v>5</v>
      </c>
      <c r="W156" t="str">
        <f>_xlfn.XLOOKUP($P156,localities!$B$2:$B$49,localities!$I$2:$I$49,"NA")</f>
        <v>NOR</v>
      </c>
      <c r="X156" t="str">
        <f>_xlfn.XLOOKUP($P156,localities!$B$2:$B$49,localities!$J$2:$J$49,"NA")</f>
        <v>Norway</v>
      </c>
      <c r="Y156" t="str">
        <f>_xlfn.XLOOKUP($P156,localities!$B$2:$B$49,localities!$K$2:$K$49,"NA")</f>
        <v>Sør-Trøndelag</v>
      </c>
      <c r="Z156" t="str">
        <f>_xlfn.XLOOKUP($P156,localities!$B$2:$B$49,localities!$L$2:$L$49,"NA")</f>
        <v>Indre Fosen</v>
      </c>
    </row>
    <row r="157" spans="2:26" x14ac:dyDescent="0.3">
      <c r="B157" t="s">
        <v>235</v>
      </c>
      <c r="C157" s="23">
        <v>2</v>
      </c>
      <c r="E157" t="s">
        <v>63</v>
      </c>
      <c r="F157" s="19">
        <f>_xlfn.XLOOKUP($E157,parent_events!$B$2:$B$56,parent_events!$C$2:$C$56,"NA")</f>
        <v>45419</v>
      </c>
      <c r="G157">
        <f>_xlfn.XLOOKUP($E157,parent_events!$B$2:$B$56,parent_events!$D$2:$D$56,"NA")</f>
        <v>2024</v>
      </c>
      <c r="H157">
        <f>_xlfn.XLOOKUP($E157,parent_events!$B$2:$B$56,parent_events!$E$2:$E$56,"NA")</f>
        <v>5</v>
      </c>
      <c r="I157">
        <f>_xlfn.XLOOKUP($E157,parent_events!$B$2:$B$56,parent_events!$F$2:$F$56,"NA")</f>
        <v>7</v>
      </c>
      <c r="J157">
        <f>_xlfn.XLOOKUP($E157,parent_events!$B$2:$B$56,parent_events!$G$2:$G$56,"NA")</f>
        <v>1</v>
      </c>
      <c r="K157" t="str">
        <f>_xlfn.XLOOKUP($E157,parent_events!$B$2:$B$56,parent_events!$H$2:$H$56,"NA")</f>
        <v>Rot (1 min)</v>
      </c>
      <c r="L157" t="str">
        <f>_xlfn.XLOOKUP($E157,parent_events!$B$2:$B$56,parent_events!$I$2:$I$56,"NA")</f>
        <v>"3 replicates of 1 minute kick samples"</v>
      </c>
      <c r="M157">
        <f>_xlfn.XLOOKUP($E157,parent_events!$B$2:$B$56,parent_events!$J$2:$J$56,"NA")</f>
        <v>1</v>
      </c>
      <c r="N157" s="23" t="str">
        <f>_xlfn.XLOOKUP($E157,parent_events!$B$2:$B$56,parent_events!$K$2:$K$56,"NA")</f>
        <v>decimalMinute</v>
      </c>
      <c r="P157" t="str">
        <f>_xlfn.XLOOKUP($E157,parent_events!$B$2:$B$56,parent_events!$L$2:$L$56,"NA")</f>
        <v>Roksetvatnet_st1</v>
      </c>
      <c r="Q157" t="str">
        <f>_xlfn.XLOOKUP($P157,localities!$B$2:$B$49,localities!$C$2:$C$49,"NA")</f>
        <v>Roksetvatnet</v>
      </c>
      <c r="R157">
        <f>_xlfn.XLOOKUP($P157,localities!$B$2:$B$49,localities!$D$2:$D$49,"NA")</f>
        <v>1</v>
      </c>
      <c r="S157">
        <f>_xlfn.XLOOKUP($P157,localities!$B$2:$B$49,localities!$E$2:$E$49,"NA")</f>
        <v>63.654024200000002</v>
      </c>
      <c r="T157">
        <f>_xlfn.XLOOKUP($P157,localities!$B$2:$B$49,localities!$F$2:$F$49,"NA")</f>
        <v>10.066431400000001</v>
      </c>
      <c r="U157" t="str">
        <f>_xlfn.XLOOKUP($P157,localities!$B$2:$B$49,localities!$G$2:$G$49,"NA")</f>
        <v>WGS84</v>
      </c>
      <c r="V157">
        <f>_xlfn.XLOOKUP($P157,localities!$B$2:$B$49,localities!$H$2:$H$49,"NA")</f>
        <v>5</v>
      </c>
      <c r="W157" t="str">
        <f>_xlfn.XLOOKUP($P157,localities!$B$2:$B$49,localities!$I$2:$I$49,"NA")</f>
        <v>NOR</v>
      </c>
      <c r="X157" t="str">
        <f>_xlfn.XLOOKUP($P157,localities!$B$2:$B$49,localities!$J$2:$J$49,"NA")</f>
        <v>Norway</v>
      </c>
      <c r="Y157" t="str">
        <f>_xlfn.XLOOKUP($P157,localities!$B$2:$B$49,localities!$K$2:$K$49,"NA")</f>
        <v>Sør-Trøndelag</v>
      </c>
      <c r="Z157" t="str">
        <f>_xlfn.XLOOKUP($P157,localities!$B$2:$B$49,localities!$L$2:$L$49,"NA")</f>
        <v>Indre Fosen</v>
      </c>
    </row>
    <row r="158" spans="2:26" x14ac:dyDescent="0.3">
      <c r="B158" t="s">
        <v>236</v>
      </c>
      <c r="C158" s="23">
        <v>3</v>
      </c>
      <c r="E158" t="s">
        <v>63</v>
      </c>
      <c r="F158" s="19">
        <f>_xlfn.XLOOKUP($E158,parent_events!$B$2:$B$56,parent_events!$C$2:$C$56,"NA")</f>
        <v>45419</v>
      </c>
      <c r="G158">
        <f>_xlfn.XLOOKUP($E158,parent_events!$B$2:$B$56,parent_events!$D$2:$D$56,"NA")</f>
        <v>2024</v>
      </c>
      <c r="H158">
        <f>_xlfn.XLOOKUP($E158,parent_events!$B$2:$B$56,parent_events!$E$2:$E$56,"NA")</f>
        <v>5</v>
      </c>
      <c r="I158">
        <f>_xlfn.XLOOKUP($E158,parent_events!$B$2:$B$56,parent_events!$F$2:$F$56,"NA")</f>
        <v>7</v>
      </c>
      <c r="J158">
        <f>_xlfn.XLOOKUP($E158,parent_events!$B$2:$B$56,parent_events!$G$2:$G$56,"NA")</f>
        <v>1</v>
      </c>
      <c r="K158" t="str">
        <f>_xlfn.XLOOKUP($E158,parent_events!$B$2:$B$56,parent_events!$H$2:$H$56,"NA")</f>
        <v>Rot (1 min)</v>
      </c>
      <c r="L158" t="str">
        <f>_xlfn.XLOOKUP($E158,parent_events!$B$2:$B$56,parent_events!$I$2:$I$56,"NA")</f>
        <v>"3 replicates of 1 minute kick samples"</v>
      </c>
      <c r="M158">
        <f>_xlfn.XLOOKUP($E158,parent_events!$B$2:$B$56,parent_events!$J$2:$J$56,"NA")</f>
        <v>1</v>
      </c>
      <c r="N158" s="23" t="str">
        <f>_xlfn.XLOOKUP($E158,parent_events!$B$2:$B$56,parent_events!$K$2:$K$56,"NA")</f>
        <v>decimalMinute</v>
      </c>
      <c r="P158" t="str">
        <f>_xlfn.XLOOKUP($E158,parent_events!$B$2:$B$56,parent_events!$L$2:$L$56,"NA")</f>
        <v>Roksetvatnet_st1</v>
      </c>
      <c r="Q158" t="str">
        <f>_xlfn.XLOOKUP($P158,localities!$B$2:$B$49,localities!$C$2:$C$49,"NA")</f>
        <v>Roksetvatnet</v>
      </c>
      <c r="R158">
        <f>_xlfn.XLOOKUP($P158,localities!$B$2:$B$49,localities!$D$2:$D$49,"NA")</f>
        <v>1</v>
      </c>
      <c r="S158">
        <f>_xlfn.XLOOKUP($P158,localities!$B$2:$B$49,localities!$E$2:$E$49,"NA")</f>
        <v>63.654024200000002</v>
      </c>
      <c r="T158">
        <f>_xlfn.XLOOKUP($P158,localities!$B$2:$B$49,localities!$F$2:$F$49,"NA")</f>
        <v>10.066431400000001</v>
      </c>
      <c r="U158" t="str">
        <f>_xlfn.XLOOKUP($P158,localities!$B$2:$B$49,localities!$G$2:$G$49,"NA")</f>
        <v>WGS84</v>
      </c>
      <c r="V158">
        <f>_xlfn.XLOOKUP($P158,localities!$B$2:$B$49,localities!$H$2:$H$49,"NA")</f>
        <v>5</v>
      </c>
      <c r="W158" t="str">
        <f>_xlfn.XLOOKUP($P158,localities!$B$2:$B$49,localities!$I$2:$I$49,"NA")</f>
        <v>NOR</v>
      </c>
      <c r="X158" t="str">
        <f>_xlfn.XLOOKUP($P158,localities!$B$2:$B$49,localities!$J$2:$J$49,"NA")</f>
        <v>Norway</v>
      </c>
      <c r="Y158" t="str">
        <f>_xlfn.XLOOKUP($P158,localities!$B$2:$B$49,localities!$K$2:$K$49,"NA")</f>
        <v>Sør-Trøndelag</v>
      </c>
      <c r="Z158" t="str">
        <f>_xlfn.XLOOKUP($P158,localities!$B$2:$B$49,localities!$L$2:$L$49,"NA")</f>
        <v>Indre Fosen</v>
      </c>
    </row>
    <row r="159" spans="2:26" x14ac:dyDescent="0.3">
      <c r="B159" t="s">
        <v>231</v>
      </c>
      <c r="C159" s="23">
        <v>1</v>
      </c>
      <c r="E159" t="s">
        <v>64</v>
      </c>
      <c r="F159" s="19">
        <f>_xlfn.XLOOKUP($E159,parent_events!$B$2:$B$56,parent_events!$C$2:$C$56,"NA")</f>
        <v>45420</v>
      </c>
      <c r="G159">
        <f>_xlfn.XLOOKUP($E159,parent_events!$B$2:$B$56,parent_events!$D$2:$D$56,"NA")</f>
        <v>2024</v>
      </c>
      <c r="H159">
        <f>_xlfn.XLOOKUP($E159,parent_events!$B$2:$B$56,parent_events!$E$2:$E$56,"NA")</f>
        <v>5</v>
      </c>
      <c r="I159">
        <f>_xlfn.XLOOKUP($E159,parent_events!$B$2:$B$56,parent_events!$F$2:$F$56,"NA")</f>
        <v>8</v>
      </c>
      <c r="J159">
        <f>_xlfn.XLOOKUP($E159,parent_events!$B$2:$B$56,parent_events!$G$2:$G$56,"NA")</f>
        <v>1</v>
      </c>
      <c r="K159" t="str">
        <f>_xlfn.XLOOKUP($E159,parent_events!$B$2:$B$56,parent_events!$H$2:$H$56,"NA")</f>
        <v>Rot (1 min)</v>
      </c>
      <c r="L159" t="str">
        <f>_xlfn.XLOOKUP($E159,parent_events!$B$2:$B$56,parent_events!$I$2:$I$56,"NA")</f>
        <v>"3 replicates of 1 minute kick samples"</v>
      </c>
      <c r="M159">
        <f>_xlfn.XLOOKUP($E159,parent_events!$B$2:$B$56,parent_events!$J$2:$J$56,"NA")</f>
        <v>1</v>
      </c>
      <c r="N159" s="23" t="str">
        <f>_xlfn.XLOOKUP($E159,parent_events!$B$2:$B$56,parent_events!$K$2:$K$56,"NA")</f>
        <v>decimalMinute</v>
      </c>
      <c r="P159" t="str">
        <f>_xlfn.XLOOKUP($E159,parent_events!$B$2:$B$56,parent_events!$L$2:$L$56,"NA")</f>
        <v>Barsetvatnet_st1</v>
      </c>
      <c r="Q159" t="str">
        <f>_xlfn.XLOOKUP($P159,localities!$B$2:$B$49,localities!$C$2:$C$49,"NA")</f>
        <v>Barsetvatnet</v>
      </c>
      <c r="R159">
        <f>_xlfn.XLOOKUP($P159,localities!$B$2:$B$49,localities!$D$2:$D$49,"NA")</f>
        <v>1</v>
      </c>
      <c r="S159">
        <f>_xlfn.XLOOKUP($P159,localities!$B$2:$B$49,localities!$E$2:$E$49,"NA")</f>
        <v>63.797785500000003</v>
      </c>
      <c r="T159">
        <f>_xlfn.XLOOKUP($P159,localities!$B$2:$B$49,localities!$F$2:$F$49,"NA")</f>
        <v>9.8281852999999995</v>
      </c>
      <c r="U159" t="str">
        <f>_xlfn.XLOOKUP($P159,localities!$B$2:$B$49,localities!$G$2:$G$49,"NA")</f>
        <v>WGS84</v>
      </c>
      <c r="V159">
        <f>_xlfn.XLOOKUP($P159,localities!$B$2:$B$49,localities!$H$2:$H$49,"NA")</f>
        <v>5</v>
      </c>
      <c r="W159" t="str">
        <f>_xlfn.XLOOKUP($P159,localities!$B$2:$B$49,localities!$I$2:$I$49,"NA")</f>
        <v>NOR</v>
      </c>
      <c r="X159" t="str">
        <f>_xlfn.XLOOKUP($P159,localities!$B$2:$B$49,localities!$J$2:$J$49,"NA")</f>
        <v>Norway</v>
      </c>
      <c r="Y159" t="str">
        <f>_xlfn.XLOOKUP($P159,localities!$B$2:$B$49,localities!$K$2:$K$49,"NA")</f>
        <v>Sør-Trøndelag</v>
      </c>
      <c r="Z159" t="str">
        <f>_xlfn.XLOOKUP($P159,localities!$B$2:$B$49,localities!$L$2:$L$49,"NA")</f>
        <v>Ørland</v>
      </c>
    </row>
    <row r="160" spans="2:26" x14ac:dyDescent="0.3">
      <c r="B160" t="s">
        <v>239</v>
      </c>
      <c r="C160" s="23">
        <v>2</v>
      </c>
      <c r="E160" t="s">
        <v>64</v>
      </c>
      <c r="F160" s="19">
        <f>_xlfn.XLOOKUP($E160,parent_events!$B$2:$B$56,parent_events!$C$2:$C$56,"NA")</f>
        <v>45420</v>
      </c>
      <c r="G160">
        <f>_xlfn.XLOOKUP($E160,parent_events!$B$2:$B$56,parent_events!$D$2:$D$56,"NA")</f>
        <v>2024</v>
      </c>
      <c r="H160">
        <f>_xlfn.XLOOKUP($E160,parent_events!$B$2:$B$56,parent_events!$E$2:$E$56,"NA")</f>
        <v>5</v>
      </c>
      <c r="I160">
        <f>_xlfn.XLOOKUP($E160,parent_events!$B$2:$B$56,parent_events!$F$2:$F$56,"NA")</f>
        <v>8</v>
      </c>
      <c r="J160">
        <f>_xlfn.XLOOKUP($E160,parent_events!$B$2:$B$56,parent_events!$G$2:$G$56,"NA")</f>
        <v>1</v>
      </c>
      <c r="K160" t="str">
        <f>_xlfn.XLOOKUP($E160,parent_events!$B$2:$B$56,parent_events!$H$2:$H$56,"NA")</f>
        <v>Rot (1 min)</v>
      </c>
      <c r="L160" t="str">
        <f>_xlfn.XLOOKUP($E160,parent_events!$B$2:$B$56,parent_events!$I$2:$I$56,"NA")</f>
        <v>"3 replicates of 1 minute kick samples"</v>
      </c>
      <c r="M160">
        <f>_xlfn.XLOOKUP($E160,parent_events!$B$2:$B$56,parent_events!$J$2:$J$56,"NA")</f>
        <v>1</v>
      </c>
      <c r="N160" s="23" t="str">
        <f>_xlfn.XLOOKUP($E160,parent_events!$B$2:$B$56,parent_events!$K$2:$K$56,"NA")</f>
        <v>decimalMinute</v>
      </c>
      <c r="P160" t="str">
        <f>_xlfn.XLOOKUP($E160,parent_events!$B$2:$B$56,parent_events!$L$2:$L$56,"NA")</f>
        <v>Barsetvatnet_st1</v>
      </c>
      <c r="Q160" t="str">
        <f>_xlfn.XLOOKUP($P160,localities!$B$2:$B$49,localities!$C$2:$C$49,"NA")</f>
        <v>Barsetvatnet</v>
      </c>
      <c r="R160">
        <f>_xlfn.XLOOKUP($P160,localities!$B$2:$B$49,localities!$D$2:$D$49,"NA")</f>
        <v>1</v>
      </c>
      <c r="S160">
        <f>_xlfn.XLOOKUP($P160,localities!$B$2:$B$49,localities!$E$2:$E$49,"NA")</f>
        <v>63.797785500000003</v>
      </c>
      <c r="T160">
        <f>_xlfn.XLOOKUP($P160,localities!$B$2:$B$49,localities!$F$2:$F$49,"NA")</f>
        <v>9.8281852999999995</v>
      </c>
      <c r="U160" t="str">
        <f>_xlfn.XLOOKUP($P160,localities!$B$2:$B$49,localities!$G$2:$G$49,"NA")</f>
        <v>WGS84</v>
      </c>
      <c r="V160">
        <f>_xlfn.XLOOKUP($P160,localities!$B$2:$B$49,localities!$H$2:$H$49,"NA")</f>
        <v>5</v>
      </c>
      <c r="W160" t="str">
        <f>_xlfn.XLOOKUP($P160,localities!$B$2:$B$49,localities!$I$2:$I$49,"NA")</f>
        <v>NOR</v>
      </c>
      <c r="X160" t="str">
        <f>_xlfn.XLOOKUP($P160,localities!$B$2:$B$49,localities!$J$2:$J$49,"NA")</f>
        <v>Norway</v>
      </c>
      <c r="Y160" t="str">
        <f>_xlfn.XLOOKUP($P160,localities!$B$2:$B$49,localities!$K$2:$K$49,"NA")</f>
        <v>Sør-Trøndelag</v>
      </c>
      <c r="Z160" t="str">
        <f>_xlfn.XLOOKUP($P160,localities!$B$2:$B$49,localities!$L$2:$L$49,"NA")</f>
        <v>Ørland</v>
      </c>
    </row>
    <row r="161" spans="2:26" x14ac:dyDescent="0.3">
      <c r="B161" t="s">
        <v>240</v>
      </c>
      <c r="C161" s="23">
        <v>3</v>
      </c>
      <c r="E161" t="s">
        <v>64</v>
      </c>
      <c r="F161" s="19">
        <f>_xlfn.XLOOKUP($E161,parent_events!$B$2:$B$56,parent_events!$C$2:$C$56,"NA")</f>
        <v>45420</v>
      </c>
      <c r="G161">
        <f>_xlfn.XLOOKUP($E161,parent_events!$B$2:$B$56,parent_events!$D$2:$D$56,"NA")</f>
        <v>2024</v>
      </c>
      <c r="H161">
        <f>_xlfn.XLOOKUP($E161,parent_events!$B$2:$B$56,parent_events!$E$2:$E$56,"NA")</f>
        <v>5</v>
      </c>
      <c r="I161">
        <f>_xlfn.XLOOKUP($E161,parent_events!$B$2:$B$56,parent_events!$F$2:$F$56,"NA")</f>
        <v>8</v>
      </c>
      <c r="J161">
        <f>_xlfn.XLOOKUP($E161,parent_events!$B$2:$B$56,parent_events!$G$2:$G$56,"NA")</f>
        <v>1</v>
      </c>
      <c r="K161" t="str">
        <f>_xlfn.XLOOKUP($E161,parent_events!$B$2:$B$56,parent_events!$H$2:$H$56,"NA")</f>
        <v>Rot (1 min)</v>
      </c>
      <c r="L161" t="str">
        <f>_xlfn.XLOOKUP($E161,parent_events!$B$2:$B$56,parent_events!$I$2:$I$56,"NA")</f>
        <v>"3 replicates of 1 minute kick samples"</v>
      </c>
      <c r="M161">
        <f>_xlfn.XLOOKUP($E161,parent_events!$B$2:$B$56,parent_events!$J$2:$J$56,"NA")</f>
        <v>1</v>
      </c>
      <c r="N161" s="23" t="str">
        <f>_xlfn.XLOOKUP($E161,parent_events!$B$2:$B$56,parent_events!$K$2:$K$56,"NA")</f>
        <v>decimalMinute</v>
      </c>
      <c r="P161" t="str">
        <f>_xlfn.XLOOKUP($E161,parent_events!$B$2:$B$56,parent_events!$L$2:$L$56,"NA")</f>
        <v>Barsetvatnet_st1</v>
      </c>
      <c r="Q161" t="str">
        <f>_xlfn.XLOOKUP($P161,localities!$B$2:$B$49,localities!$C$2:$C$49,"NA")</f>
        <v>Barsetvatnet</v>
      </c>
      <c r="R161">
        <f>_xlfn.XLOOKUP($P161,localities!$B$2:$B$49,localities!$D$2:$D$49,"NA")</f>
        <v>1</v>
      </c>
      <c r="S161">
        <f>_xlfn.XLOOKUP($P161,localities!$B$2:$B$49,localities!$E$2:$E$49,"NA")</f>
        <v>63.797785500000003</v>
      </c>
      <c r="T161">
        <f>_xlfn.XLOOKUP($P161,localities!$B$2:$B$49,localities!$F$2:$F$49,"NA")</f>
        <v>9.8281852999999995</v>
      </c>
      <c r="U161" t="str">
        <f>_xlfn.XLOOKUP($P161,localities!$B$2:$B$49,localities!$G$2:$G$49,"NA")</f>
        <v>WGS84</v>
      </c>
      <c r="V161">
        <f>_xlfn.XLOOKUP($P161,localities!$B$2:$B$49,localities!$H$2:$H$49,"NA")</f>
        <v>5</v>
      </c>
      <c r="W161" t="str">
        <f>_xlfn.XLOOKUP($P161,localities!$B$2:$B$49,localities!$I$2:$I$49,"NA")</f>
        <v>NOR</v>
      </c>
      <c r="X161" t="str">
        <f>_xlfn.XLOOKUP($P161,localities!$B$2:$B$49,localities!$J$2:$J$49,"NA")</f>
        <v>Norway</v>
      </c>
      <c r="Y161" t="str">
        <f>_xlfn.XLOOKUP($P161,localities!$B$2:$B$49,localities!$K$2:$K$49,"NA")</f>
        <v>Sør-Trøndelag</v>
      </c>
      <c r="Z161" t="str">
        <f>_xlfn.XLOOKUP($P161,localities!$B$2:$B$49,localities!$L$2:$L$49,"NA")</f>
        <v>Ørland</v>
      </c>
    </row>
    <row r="162" spans="2:26" x14ac:dyDescent="0.3">
      <c r="B162" t="s">
        <v>232</v>
      </c>
      <c r="C162" s="23">
        <v>1</v>
      </c>
      <c r="E162" t="s">
        <v>65</v>
      </c>
      <c r="F162" s="19">
        <f>_xlfn.XLOOKUP($E162,parent_events!$B$2:$B$56,parent_events!$C$2:$C$56,"NA")</f>
        <v>45420</v>
      </c>
      <c r="G162">
        <f>_xlfn.XLOOKUP($E162,parent_events!$B$2:$B$56,parent_events!$D$2:$D$56,"NA")</f>
        <v>2024</v>
      </c>
      <c r="H162">
        <f>_xlfn.XLOOKUP($E162,parent_events!$B$2:$B$56,parent_events!$E$2:$E$56,"NA")</f>
        <v>5</v>
      </c>
      <c r="I162">
        <f>_xlfn.XLOOKUP($E162,parent_events!$B$2:$B$56,parent_events!$F$2:$F$56,"NA")</f>
        <v>8</v>
      </c>
      <c r="J162">
        <f>_xlfn.XLOOKUP($E162,parent_events!$B$2:$B$56,parent_events!$G$2:$G$56,"NA")</f>
        <v>1</v>
      </c>
      <c r="K162" t="str">
        <f>_xlfn.XLOOKUP($E162,parent_events!$B$2:$B$56,parent_events!$H$2:$H$56,"NA")</f>
        <v>Rot (1 min)</v>
      </c>
      <c r="L162" t="str">
        <f>_xlfn.XLOOKUP($E162,parent_events!$B$2:$B$56,parent_events!$I$2:$I$56,"NA")</f>
        <v>"3 replicates of 1 minute kick samples"</v>
      </c>
      <c r="M162">
        <f>_xlfn.XLOOKUP($E162,parent_events!$B$2:$B$56,parent_events!$J$2:$J$56,"NA")</f>
        <v>1</v>
      </c>
      <c r="N162" s="23" t="str">
        <f>_xlfn.XLOOKUP($E162,parent_events!$B$2:$B$56,parent_events!$K$2:$K$56,"NA")</f>
        <v>decimalMinute</v>
      </c>
      <c r="P162" t="str">
        <f>_xlfn.XLOOKUP($E162,parent_events!$B$2:$B$56,parent_events!$L$2:$L$56,"NA")</f>
        <v>Kilvatnet_st1</v>
      </c>
      <c r="Q162" t="str">
        <f>_xlfn.XLOOKUP($P162,localities!$B$2:$B$49,localities!$C$2:$C$49,"NA")</f>
        <v>Kilvatnet</v>
      </c>
      <c r="R162">
        <f>_xlfn.XLOOKUP($P162,localities!$B$2:$B$49,localities!$D$2:$D$49,"NA")</f>
        <v>1</v>
      </c>
      <c r="S162">
        <f>_xlfn.XLOOKUP($P162,localities!$B$2:$B$49,localities!$E$2:$E$49,"NA")</f>
        <v>63.3447909</v>
      </c>
      <c r="T162">
        <f>_xlfn.XLOOKUP($P162,localities!$B$2:$B$49,localities!$F$2:$F$49,"NA")</f>
        <v>10.5500174</v>
      </c>
      <c r="U162" t="str">
        <f>_xlfn.XLOOKUP($P162,localities!$B$2:$B$49,localities!$G$2:$G$49,"NA")</f>
        <v>WGS84</v>
      </c>
      <c r="V162">
        <f>_xlfn.XLOOKUP($P162,localities!$B$2:$B$49,localities!$H$2:$H$49,"NA")</f>
        <v>5</v>
      </c>
      <c r="W162" t="str">
        <f>_xlfn.XLOOKUP($P162,localities!$B$2:$B$49,localities!$I$2:$I$49,"NA")</f>
        <v>NOR</v>
      </c>
      <c r="X162" t="str">
        <f>_xlfn.XLOOKUP($P162,localities!$B$2:$B$49,localities!$J$2:$J$49,"NA")</f>
        <v>Norway</v>
      </c>
      <c r="Y162" t="str">
        <f>_xlfn.XLOOKUP($P162,localities!$B$2:$B$49,localities!$K$2:$K$49,"NA")</f>
        <v>Sør-Trøndelag</v>
      </c>
      <c r="Z162" t="str">
        <f>_xlfn.XLOOKUP($P162,localities!$B$2:$B$49,localities!$L$2:$L$49,"NA")</f>
        <v>Trondheim</v>
      </c>
    </row>
    <row r="163" spans="2:26" x14ac:dyDescent="0.3">
      <c r="B163" t="s">
        <v>243</v>
      </c>
      <c r="C163" s="23">
        <v>2</v>
      </c>
      <c r="E163" t="s">
        <v>65</v>
      </c>
      <c r="F163" s="19">
        <f>_xlfn.XLOOKUP($E163,parent_events!$B$2:$B$56,parent_events!$C$2:$C$56,"NA")</f>
        <v>45420</v>
      </c>
      <c r="G163">
        <f>_xlfn.XLOOKUP($E163,parent_events!$B$2:$B$56,parent_events!$D$2:$D$56,"NA")</f>
        <v>2024</v>
      </c>
      <c r="H163">
        <f>_xlfn.XLOOKUP($E163,parent_events!$B$2:$B$56,parent_events!$E$2:$E$56,"NA")</f>
        <v>5</v>
      </c>
      <c r="I163">
        <f>_xlfn.XLOOKUP($E163,parent_events!$B$2:$B$56,parent_events!$F$2:$F$56,"NA")</f>
        <v>8</v>
      </c>
      <c r="J163">
        <f>_xlfn.XLOOKUP($E163,parent_events!$B$2:$B$56,parent_events!$G$2:$G$56,"NA")</f>
        <v>1</v>
      </c>
      <c r="K163" t="str">
        <f>_xlfn.XLOOKUP($E163,parent_events!$B$2:$B$56,parent_events!$H$2:$H$56,"NA")</f>
        <v>Rot (1 min)</v>
      </c>
      <c r="L163" t="str">
        <f>_xlfn.XLOOKUP($E163,parent_events!$B$2:$B$56,parent_events!$I$2:$I$56,"NA")</f>
        <v>"3 replicates of 1 minute kick samples"</v>
      </c>
      <c r="M163">
        <f>_xlfn.XLOOKUP($E163,parent_events!$B$2:$B$56,parent_events!$J$2:$J$56,"NA")</f>
        <v>1</v>
      </c>
      <c r="N163" s="23" t="str">
        <f>_xlfn.XLOOKUP($E163,parent_events!$B$2:$B$56,parent_events!$K$2:$K$56,"NA")</f>
        <v>decimalMinute</v>
      </c>
      <c r="P163" t="str">
        <f>_xlfn.XLOOKUP($E163,parent_events!$B$2:$B$56,parent_events!$L$2:$L$56,"NA")</f>
        <v>Kilvatnet_st1</v>
      </c>
      <c r="Q163" t="str">
        <f>_xlfn.XLOOKUP($P163,localities!$B$2:$B$49,localities!$C$2:$C$49,"NA")</f>
        <v>Kilvatnet</v>
      </c>
      <c r="R163">
        <f>_xlfn.XLOOKUP($P163,localities!$B$2:$B$49,localities!$D$2:$D$49,"NA")</f>
        <v>1</v>
      </c>
      <c r="S163">
        <f>_xlfn.XLOOKUP($P163,localities!$B$2:$B$49,localities!$E$2:$E$49,"NA")</f>
        <v>63.3447909</v>
      </c>
      <c r="T163">
        <f>_xlfn.XLOOKUP($P163,localities!$B$2:$B$49,localities!$F$2:$F$49,"NA")</f>
        <v>10.5500174</v>
      </c>
      <c r="U163" t="str">
        <f>_xlfn.XLOOKUP($P163,localities!$B$2:$B$49,localities!$G$2:$G$49,"NA")</f>
        <v>WGS84</v>
      </c>
      <c r="V163">
        <f>_xlfn.XLOOKUP($P163,localities!$B$2:$B$49,localities!$H$2:$H$49,"NA")</f>
        <v>5</v>
      </c>
      <c r="W163" t="str">
        <f>_xlfn.XLOOKUP($P163,localities!$B$2:$B$49,localities!$I$2:$I$49,"NA")</f>
        <v>NOR</v>
      </c>
      <c r="X163" t="str">
        <f>_xlfn.XLOOKUP($P163,localities!$B$2:$B$49,localities!$J$2:$J$49,"NA")</f>
        <v>Norway</v>
      </c>
      <c r="Y163" t="str">
        <f>_xlfn.XLOOKUP($P163,localities!$B$2:$B$49,localities!$K$2:$K$49,"NA")</f>
        <v>Sør-Trøndelag</v>
      </c>
      <c r="Z163" t="str">
        <f>_xlfn.XLOOKUP($P163,localities!$B$2:$B$49,localities!$L$2:$L$49,"NA")</f>
        <v>Trondheim</v>
      </c>
    </row>
    <row r="164" spans="2:26" x14ac:dyDescent="0.3">
      <c r="B164" t="s">
        <v>244</v>
      </c>
      <c r="C164" s="23">
        <v>3</v>
      </c>
      <c r="E164" t="s">
        <v>65</v>
      </c>
      <c r="F164" s="19">
        <f>_xlfn.XLOOKUP($E164,parent_events!$B$2:$B$56,parent_events!$C$2:$C$56,"NA")</f>
        <v>45420</v>
      </c>
      <c r="G164">
        <f>_xlfn.XLOOKUP($E164,parent_events!$B$2:$B$56,parent_events!$D$2:$D$56,"NA")</f>
        <v>2024</v>
      </c>
      <c r="H164">
        <f>_xlfn.XLOOKUP($E164,parent_events!$B$2:$B$56,parent_events!$E$2:$E$56,"NA")</f>
        <v>5</v>
      </c>
      <c r="I164">
        <f>_xlfn.XLOOKUP($E164,parent_events!$B$2:$B$56,parent_events!$F$2:$F$56,"NA")</f>
        <v>8</v>
      </c>
      <c r="J164">
        <f>_xlfn.XLOOKUP($E164,parent_events!$B$2:$B$56,parent_events!$G$2:$G$56,"NA")</f>
        <v>1</v>
      </c>
      <c r="K164" t="str">
        <f>_xlfn.XLOOKUP($E164,parent_events!$B$2:$B$56,parent_events!$H$2:$H$56,"NA")</f>
        <v>Rot (1 min)</v>
      </c>
      <c r="L164" t="str">
        <f>_xlfn.XLOOKUP($E164,parent_events!$B$2:$B$56,parent_events!$I$2:$I$56,"NA")</f>
        <v>"3 replicates of 1 minute kick samples"</v>
      </c>
      <c r="M164">
        <f>_xlfn.XLOOKUP($E164,parent_events!$B$2:$B$56,parent_events!$J$2:$J$56,"NA")</f>
        <v>1</v>
      </c>
      <c r="N164" s="23" t="str">
        <f>_xlfn.XLOOKUP($E164,parent_events!$B$2:$B$56,parent_events!$K$2:$K$56,"NA")</f>
        <v>decimalMinute</v>
      </c>
      <c r="P164" t="str">
        <f>_xlfn.XLOOKUP($E164,parent_events!$B$2:$B$56,parent_events!$L$2:$L$56,"NA")</f>
        <v>Kilvatnet_st1</v>
      </c>
      <c r="Q164" t="str">
        <f>_xlfn.XLOOKUP($P164,localities!$B$2:$B$49,localities!$C$2:$C$49,"NA")</f>
        <v>Kilvatnet</v>
      </c>
      <c r="R164">
        <f>_xlfn.XLOOKUP($P164,localities!$B$2:$B$49,localities!$D$2:$D$49,"NA")</f>
        <v>1</v>
      </c>
      <c r="S164">
        <f>_xlfn.XLOOKUP($P164,localities!$B$2:$B$49,localities!$E$2:$E$49,"NA")</f>
        <v>63.3447909</v>
      </c>
      <c r="T164">
        <f>_xlfn.XLOOKUP($P164,localities!$B$2:$B$49,localities!$F$2:$F$49,"NA")</f>
        <v>10.5500174</v>
      </c>
      <c r="U164" t="str">
        <f>_xlfn.XLOOKUP($P164,localities!$B$2:$B$49,localities!$G$2:$G$49,"NA")</f>
        <v>WGS84</v>
      </c>
      <c r="V164">
        <f>_xlfn.XLOOKUP($P164,localities!$B$2:$B$49,localities!$H$2:$H$49,"NA")</f>
        <v>5</v>
      </c>
      <c r="W164" t="str">
        <f>_xlfn.XLOOKUP($P164,localities!$B$2:$B$49,localities!$I$2:$I$49,"NA")</f>
        <v>NOR</v>
      </c>
      <c r="X164" t="str">
        <f>_xlfn.XLOOKUP($P164,localities!$B$2:$B$49,localities!$J$2:$J$49,"NA")</f>
        <v>Norway</v>
      </c>
      <c r="Y164" t="str">
        <f>_xlfn.XLOOKUP($P164,localities!$B$2:$B$49,localities!$K$2:$K$49,"NA")</f>
        <v>Sør-Trøndelag</v>
      </c>
      <c r="Z164" t="str">
        <f>_xlfn.XLOOKUP($P164,localities!$B$2:$B$49,localities!$L$2:$L$49,"NA")</f>
        <v>Trondheim</v>
      </c>
    </row>
    <row r="165" spans="2:26" x14ac:dyDescent="0.3">
      <c r="B165" t="s">
        <v>233</v>
      </c>
      <c r="C165" s="23">
        <v>1</v>
      </c>
      <c r="E165" t="s">
        <v>66</v>
      </c>
      <c r="F165" s="19">
        <f>_xlfn.XLOOKUP($E165,parent_events!$B$2:$B$56,parent_events!$C$2:$C$56,"NA")</f>
        <v>45420</v>
      </c>
      <c r="G165">
        <f>_xlfn.XLOOKUP($E165,parent_events!$B$2:$B$56,parent_events!$D$2:$D$56,"NA")</f>
        <v>2024</v>
      </c>
      <c r="H165">
        <f>_xlfn.XLOOKUP($E165,parent_events!$B$2:$B$56,parent_events!$E$2:$E$56,"NA")</f>
        <v>5</v>
      </c>
      <c r="I165">
        <f>_xlfn.XLOOKUP($E165,parent_events!$B$2:$B$56,parent_events!$F$2:$F$56,"NA")</f>
        <v>8</v>
      </c>
      <c r="J165">
        <f>_xlfn.XLOOKUP($E165,parent_events!$B$2:$B$56,parent_events!$G$2:$G$56,"NA")</f>
        <v>1</v>
      </c>
      <c r="K165" t="str">
        <f>_xlfn.XLOOKUP($E165,parent_events!$B$2:$B$56,parent_events!$H$2:$H$56,"NA")</f>
        <v>Rot (1 min)</v>
      </c>
      <c r="L165" t="str">
        <f>_xlfn.XLOOKUP($E165,parent_events!$B$2:$B$56,parent_events!$I$2:$I$56,"NA")</f>
        <v>"3 replicates of 1 minute kick samples"</v>
      </c>
      <c r="M165">
        <f>_xlfn.XLOOKUP($E165,parent_events!$B$2:$B$56,parent_events!$J$2:$J$56,"NA")</f>
        <v>1</v>
      </c>
      <c r="N165" s="23" t="str">
        <f>_xlfn.XLOOKUP($E165,parent_events!$B$2:$B$56,parent_events!$K$2:$K$56,"NA")</f>
        <v>decimalMinute</v>
      </c>
      <c r="P165" t="str">
        <f>_xlfn.XLOOKUP($E165,parent_events!$B$2:$B$56,parent_events!$L$2:$L$56,"NA")</f>
        <v>Storvatnet_st1</v>
      </c>
      <c r="Q165" t="str">
        <f>_xlfn.XLOOKUP($P165,localities!$B$2:$B$49,localities!$C$2:$C$49,"NA")</f>
        <v>Storvatnet</v>
      </c>
      <c r="R165">
        <f>_xlfn.XLOOKUP($P165,localities!$B$2:$B$49,localities!$D$2:$D$49,"NA")</f>
        <v>1</v>
      </c>
      <c r="S165">
        <f>_xlfn.XLOOKUP($P165,localities!$B$2:$B$49,localities!$E$2:$E$49,"NA")</f>
        <v>63.621177600000003</v>
      </c>
      <c r="T165">
        <f>_xlfn.XLOOKUP($P165,localities!$B$2:$B$49,localities!$F$2:$F$49,"NA")</f>
        <v>10.2333759</v>
      </c>
      <c r="U165" t="str">
        <f>_xlfn.XLOOKUP($P165,localities!$B$2:$B$49,localities!$G$2:$G$49,"NA")</f>
        <v>WGS84</v>
      </c>
      <c r="V165">
        <f>_xlfn.XLOOKUP($P165,localities!$B$2:$B$49,localities!$H$2:$H$49,"NA")</f>
        <v>5</v>
      </c>
      <c r="W165" t="str">
        <f>_xlfn.XLOOKUP($P165,localities!$B$2:$B$49,localities!$I$2:$I$49,"NA")</f>
        <v>NOR</v>
      </c>
      <c r="X165" t="str">
        <f>_xlfn.XLOOKUP($P165,localities!$B$2:$B$49,localities!$J$2:$J$49,"NA")</f>
        <v>Norway</v>
      </c>
      <c r="Y165" t="str">
        <f>_xlfn.XLOOKUP($P165,localities!$B$2:$B$49,localities!$K$2:$K$49,"NA")</f>
        <v>Nord-Trøndelag</v>
      </c>
      <c r="Z165" t="str">
        <f>_xlfn.XLOOKUP($P165,localities!$B$2:$B$49,localities!$L$2:$L$49,"NA")</f>
        <v>Indre Fosen</v>
      </c>
    </row>
    <row r="166" spans="2:26" x14ac:dyDescent="0.3">
      <c r="B166" t="s">
        <v>246</v>
      </c>
      <c r="C166" s="23">
        <v>2</v>
      </c>
      <c r="E166" t="s">
        <v>66</v>
      </c>
      <c r="F166" s="19">
        <f>_xlfn.XLOOKUP($E166,parent_events!$B$2:$B$56,parent_events!$C$2:$C$56,"NA")</f>
        <v>45420</v>
      </c>
      <c r="G166">
        <f>_xlfn.XLOOKUP($E166,parent_events!$B$2:$B$56,parent_events!$D$2:$D$56,"NA")</f>
        <v>2024</v>
      </c>
      <c r="H166">
        <f>_xlfn.XLOOKUP($E166,parent_events!$B$2:$B$56,parent_events!$E$2:$E$56,"NA")</f>
        <v>5</v>
      </c>
      <c r="I166">
        <f>_xlfn.XLOOKUP($E166,parent_events!$B$2:$B$56,parent_events!$F$2:$F$56,"NA")</f>
        <v>8</v>
      </c>
      <c r="J166">
        <f>_xlfn.XLOOKUP($E166,parent_events!$B$2:$B$56,parent_events!$G$2:$G$56,"NA")</f>
        <v>1</v>
      </c>
      <c r="K166" t="str">
        <f>_xlfn.XLOOKUP($E166,parent_events!$B$2:$B$56,parent_events!$H$2:$H$56,"NA")</f>
        <v>Rot (1 min)</v>
      </c>
      <c r="L166" t="str">
        <f>_xlfn.XLOOKUP($E166,parent_events!$B$2:$B$56,parent_events!$I$2:$I$56,"NA")</f>
        <v>"3 replicates of 1 minute kick samples"</v>
      </c>
      <c r="M166">
        <f>_xlfn.XLOOKUP($E166,parent_events!$B$2:$B$56,parent_events!$J$2:$J$56,"NA")</f>
        <v>1</v>
      </c>
      <c r="N166" s="23" t="str">
        <f>_xlfn.XLOOKUP($E166,parent_events!$B$2:$B$56,parent_events!$K$2:$K$56,"NA")</f>
        <v>decimalMinute</v>
      </c>
      <c r="P166" t="str">
        <f>_xlfn.XLOOKUP($E166,parent_events!$B$2:$B$56,parent_events!$L$2:$L$56,"NA")</f>
        <v>Storvatnet_st1</v>
      </c>
      <c r="Q166" t="str">
        <f>_xlfn.XLOOKUP($P166,localities!$B$2:$B$49,localities!$C$2:$C$49,"NA")</f>
        <v>Storvatnet</v>
      </c>
      <c r="R166">
        <f>_xlfn.XLOOKUP($P166,localities!$B$2:$B$49,localities!$D$2:$D$49,"NA")</f>
        <v>1</v>
      </c>
      <c r="S166">
        <f>_xlfn.XLOOKUP($P166,localities!$B$2:$B$49,localities!$E$2:$E$49,"NA")</f>
        <v>63.621177600000003</v>
      </c>
      <c r="T166">
        <f>_xlfn.XLOOKUP($P166,localities!$B$2:$B$49,localities!$F$2:$F$49,"NA")</f>
        <v>10.2333759</v>
      </c>
      <c r="U166" t="str">
        <f>_xlfn.XLOOKUP($P166,localities!$B$2:$B$49,localities!$G$2:$G$49,"NA")</f>
        <v>WGS84</v>
      </c>
      <c r="V166">
        <f>_xlfn.XLOOKUP($P166,localities!$B$2:$B$49,localities!$H$2:$H$49,"NA")</f>
        <v>5</v>
      </c>
      <c r="W166" t="str">
        <f>_xlfn.XLOOKUP($P166,localities!$B$2:$B$49,localities!$I$2:$I$49,"NA")</f>
        <v>NOR</v>
      </c>
      <c r="X166" t="str">
        <f>_xlfn.XLOOKUP($P166,localities!$B$2:$B$49,localities!$J$2:$J$49,"NA")</f>
        <v>Norway</v>
      </c>
      <c r="Y166" t="str">
        <f>_xlfn.XLOOKUP($P166,localities!$B$2:$B$49,localities!$K$2:$K$49,"NA")</f>
        <v>Nord-Trøndelag</v>
      </c>
      <c r="Z166" t="str">
        <f>_xlfn.XLOOKUP($P166,localities!$B$2:$B$49,localities!$L$2:$L$49,"NA")</f>
        <v>Indre Fosen</v>
      </c>
    </row>
    <row r="167" spans="2:26" x14ac:dyDescent="0.3">
      <c r="B167" t="s">
        <v>247</v>
      </c>
      <c r="C167" s="23">
        <v>3</v>
      </c>
      <c r="E167" t="s">
        <v>66</v>
      </c>
      <c r="F167" s="19">
        <f>_xlfn.XLOOKUP($E167,parent_events!$B$2:$B$56,parent_events!$C$2:$C$56,"NA")</f>
        <v>45420</v>
      </c>
      <c r="G167">
        <f>_xlfn.XLOOKUP($E167,parent_events!$B$2:$B$56,parent_events!$D$2:$D$56,"NA")</f>
        <v>2024</v>
      </c>
      <c r="H167">
        <f>_xlfn.XLOOKUP($E167,parent_events!$B$2:$B$56,parent_events!$E$2:$E$56,"NA")</f>
        <v>5</v>
      </c>
      <c r="I167">
        <f>_xlfn.XLOOKUP($E167,parent_events!$B$2:$B$56,parent_events!$F$2:$F$56,"NA")</f>
        <v>8</v>
      </c>
      <c r="J167">
        <f>_xlfn.XLOOKUP($E167,parent_events!$B$2:$B$56,parent_events!$G$2:$G$56,"NA")</f>
        <v>1</v>
      </c>
      <c r="K167" t="str">
        <f>_xlfn.XLOOKUP($E167,parent_events!$B$2:$B$56,parent_events!$H$2:$H$56,"NA")</f>
        <v>Rot (1 min)</v>
      </c>
      <c r="L167" t="str">
        <f>_xlfn.XLOOKUP($E167,parent_events!$B$2:$B$56,parent_events!$I$2:$I$56,"NA")</f>
        <v>"3 replicates of 1 minute kick samples"</v>
      </c>
      <c r="M167">
        <f>_xlfn.XLOOKUP($E167,parent_events!$B$2:$B$56,parent_events!$J$2:$J$56,"NA")</f>
        <v>1</v>
      </c>
      <c r="N167" s="23" t="str">
        <f>_xlfn.XLOOKUP($E167,parent_events!$B$2:$B$56,parent_events!$K$2:$K$56,"NA")</f>
        <v>decimalMinute</v>
      </c>
      <c r="P167" t="str">
        <f>_xlfn.XLOOKUP($E167,parent_events!$B$2:$B$56,parent_events!$L$2:$L$56,"NA")</f>
        <v>Storvatnet_st1</v>
      </c>
      <c r="Q167" t="str">
        <f>_xlfn.XLOOKUP($P167,localities!$B$2:$B$49,localities!$C$2:$C$49,"NA")</f>
        <v>Storvatnet</v>
      </c>
      <c r="R167">
        <f>_xlfn.XLOOKUP($P167,localities!$B$2:$B$49,localities!$D$2:$D$49,"NA")</f>
        <v>1</v>
      </c>
      <c r="S167">
        <f>_xlfn.XLOOKUP($P167,localities!$B$2:$B$49,localities!$E$2:$E$49,"NA")</f>
        <v>63.621177600000003</v>
      </c>
      <c r="T167">
        <f>_xlfn.XLOOKUP($P167,localities!$B$2:$B$49,localities!$F$2:$F$49,"NA")</f>
        <v>10.2333759</v>
      </c>
      <c r="U167" t="str">
        <f>_xlfn.XLOOKUP($P167,localities!$B$2:$B$49,localities!$G$2:$G$49,"NA")</f>
        <v>WGS84</v>
      </c>
      <c r="V167">
        <f>_xlfn.XLOOKUP($P167,localities!$B$2:$B$49,localities!$H$2:$H$49,"NA")</f>
        <v>5</v>
      </c>
      <c r="W167" t="str">
        <f>_xlfn.XLOOKUP($P167,localities!$B$2:$B$49,localities!$I$2:$I$49,"NA")</f>
        <v>NOR</v>
      </c>
      <c r="X167" t="str">
        <f>_xlfn.XLOOKUP($P167,localities!$B$2:$B$49,localities!$J$2:$J$49,"NA")</f>
        <v>Norway</v>
      </c>
      <c r="Y167" t="str">
        <f>_xlfn.XLOOKUP($P167,localities!$B$2:$B$49,localities!$K$2:$K$49,"NA")</f>
        <v>Nord-Trøndelag</v>
      </c>
      <c r="Z167" t="str">
        <f>_xlfn.XLOOKUP($P167,localities!$B$2:$B$49,localities!$L$2:$L$49,"NA")</f>
        <v>Indre Fosen</v>
      </c>
    </row>
    <row r="168" spans="2:26" x14ac:dyDescent="0.3">
      <c r="B168" t="s">
        <v>234</v>
      </c>
      <c r="C168" s="23">
        <v>1</v>
      </c>
      <c r="E168" t="s">
        <v>67</v>
      </c>
      <c r="F168" s="19">
        <f>_xlfn.XLOOKUP($E168,parent_events!$B$2:$B$56,parent_events!$C$2:$C$56,"NA")</f>
        <v>45421</v>
      </c>
      <c r="G168">
        <f>_xlfn.XLOOKUP($E168,parent_events!$B$2:$B$56,parent_events!$D$2:$D$56,"NA")</f>
        <v>2024</v>
      </c>
      <c r="H168">
        <f>_xlfn.XLOOKUP($E168,parent_events!$B$2:$B$56,parent_events!$E$2:$E$56,"NA")</f>
        <v>5</v>
      </c>
      <c r="I168">
        <f>_xlfn.XLOOKUP($E168,parent_events!$B$2:$B$56,parent_events!$F$2:$F$56,"NA")</f>
        <v>9</v>
      </c>
      <c r="J168">
        <f>_xlfn.XLOOKUP($E168,parent_events!$B$2:$B$56,parent_events!$G$2:$G$56,"NA")</f>
        <v>1</v>
      </c>
      <c r="K168" t="str">
        <f>_xlfn.XLOOKUP($E168,parent_events!$B$2:$B$56,parent_events!$H$2:$H$56,"NA")</f>
        <v>Rot (1 min)</v>
      </c>
      <c r="L168" t="str">
        <f>_xlfn.XLOOKUP($E168,parent_events!$B$2:$B$56,parent_events!$I$2:$I$56,"NA")</f>
        <v>"3 replicates of 1 minute kick samples"</v>
      </c>
      <c r="M168">
        <f>_xlfn.XLOOKUP($E168,parent_events!$B$2:$B$56,parent_events!$J$2:$J$56,"NA")</f>
        <v>1</v>
      </c>
      <c r="N168" s="23" t="str">
        <f>_xlfn.XLOOKUP($E168,parent_events!$B$2:$B$56,parent_events!$K$2:$K$56,"NA")</f>
        <v>decimalMinute</v>
      </c>
      <c r="P168" t="str">
        <f>_xlfn.XLOOKUP($E168,parent_events!$B$2:$B$56,parent_events!$L$2:$L$56,"NA")</f>
        <v>Stor-Drakstsjoen_st1</v>
      </c>
      <c r="Q168" t="str">
        <f>_xlfn.XLOOKUP($P168,localities!$B$2:$B$49,localities!$C$2:$C$49,"NA")</f>
        <v>Stor-Drakstsjøen</v>
      </c>
      <c r="R168">
        <f>_xlfn.XLOOKUP($P168,localities!$B$2:$B$49,localities!$D$2:$D$49,"NA")</f>
        <v>1</v>
      </c>
      <c r="S168">
        <f>_xlfn.XLOOKUP($P168,localities!$B$2:$B$49,localities!$E$2:$E$49,"NA")</f>
        <v>63.286461099999997</v>
      </c>
      <c r="T168">
        <f>_xlfn.XLOOKUP($P168,localities!$B$2:$B$49,localities!$F$2:$F$49,"NA")</f>
        <v>10.802471300000001</v>
      </c>
      <c r="U168" t="str">
        <f>_xlfn.XLOOKUP($P168,localities!$B$2:$B$49,localities!$G$2:$G$49,"NA")</f>
        <v>WGS84</v>
      </c>
      <c r="V168">
        <f>_xlfn.XLOOKUP($P168,localities!$B$2:$B$49,localities!$H$2:$H$49,"NA")</f>
        <v>5</v>
      </c>
      <c r="W168" t="str">
        <f>_xlfn.XLOOKUP($P168,localities!$B$2:$B$49,localities!$I$2:$I$49,"NA")</f>
        <v>NOR</v>
      </c>
      <c r="X168" t="str">
        <f>_xlfn.XLOOKUP($P168,localities!$B$2:$B$49,localities!$J$2:$J$49,"NA")</f>
        <v>Norway</v>
      </c>
      <c r="Y168" t="str">
        <f>_xlfn.XLOOKUP($P168,localities!$B$2:$B$49,localities!$K$2:$K$49,"NA")</f>
        <v>Sør-Trøndelag</v>
      </c>
      <c r="Z168" t="str">
        <f>_xlfn.XLOOKUP($P168,localities!$B$2:$B$49,localities!$L$2:$L$49,"NA")</f>
        <v>Selbu</v>
      </c>
    </row>
    <row r="169" spans="2:26" x14ac:dyDescent="0.3">
      <c r="B169" t="s">
        <v>248</v>
      </c>
      <c r="C169" s="23">
        <v>2</v>
      </c>
      <c r="E169" t="s">
        <v>67</v>
      </c>
      <c r="F169" s="19">
        <f>_xlfn.XLOOKUP($E169,parent_events!$B$2:$B$56,parent_events!$C$2:$C$56,"NA")</f>
        <v>45421</v>
      </c>
      <c r="G169">
        <f>_xlfn.XLOOKUP($E169,parent_events!$B$2:$B$56,parent_events!$D$2:$D$56,"NA")</f>
        <v>2024</v>
      </c>
      <c r="H169">
        <f>_xlfn.XLOOKUP($E169,parent_events!$B$2:$B$56,parent_events!$E$2:$E$56,"NA")</f>
        <v>5</v>
      </c>
      <c r="I169">
        <f>_xlfn.XLOOKUP($E169,parent_events!$B$2:$B$56,parent_events!$F$2:$F$56,"NA")</f>
        <v>9</v>
      </c>
      <c r="J169">
        <f>_xlfn.XLOOKUP($E169,parent_events!$B$2:$B$56,parent_events!$G$2:$G$56,"NA")</f>
        <v>1</v>
      </c>
      <c r="K169" t="str">
        <f>_xlfn.XLOOKUP($E169,parent_events!$B$2:$B$56,parent_events!$H$2:$H$56,"NA")</f>
        <v>Rot (1 min)</v>
      </c>
      <c r="L169" t="str">
        <f>_xlfn.XLOOKUP($E169,parent_events!$B$2:$B$56,parent_events!$I$2:$I$56,"NA")</f>
        <v>"3 replicates of 1 minute kick samples"</v>
      </c>
      <c r="M169">
        <f>_xlfn.XLOOKUP($E169,parent_events!$B$2:$B$56,parent_events!$J$2:$J$56,"NA")</f>
        <v>1</v>
      </c>
      <c r="N169" s="23" t="str">
        <f>_xlfn.XLOOKUP($E169,parent_events!$B$2:$B$56,parent_events!$K$2:$K$56,"NA")</f>
        <v>decimalMinute</v>
      </c>
      <c r="P169" t="str">
        <f>_xlfn.XLOOKUP($E169,parent_events!$B$2:$B$56,parent_events!$L$2:$L$56,"NA")</f>
        <v>Stor-Drakstsjoen_st1</v>
      </c>
      <c r="Q169" t="str">
        <f>_xlfn.XLOOKUP($P169,localities!$B$2:$B$49,localities!$C$2:$C$49,"NA")</f>
        <v>Stor-Drakstsjøen</v>
      </c>
      <c r="R169">
        <f>_xlfn.XLOOKUP($P169,localities!$B$2:$B$49,localities!$D$2:$D$49,"NA")</f>
        <v>1</v>
      </c>
      <c r="S169">
        <f>_xlfn.XLOOKUP($P169,localities!$B$2:$B$49,localities!$E$2:$E$49,"NA")</f>
        <v>63.286461099999997</v>
      </c>
      <c r="T169">
        <f>_xlfn.XLOOKUP($P169,localities!$B$2:$B$49,localities!$F$2:$F$49,"NA")</f>
        <v>10.802471300000001</v>
      </c>
      <c r="U169" t="str">
        <f>_xlfn.XLOOKUP($P169,localities!$B$2:$B$49,localities!$G$2:$G$49,"NA")</f>
        <v>WGS84</v>
      </c>
      <c r="V169">
        <f>_xlfn.XLOOKUP($P169,localities!$B$2:$B$49,localities!$H$2:$H$49,"NA")</f>
        <v>5</v>
      </c>
      <c r="W169" t="str">
        <f>_xlfn.XLOOKUP($P169,localities!$B$2:$B$49,localities!$I$2:$I$49,"NA")</f>
        <v>NOR</v>
      </c>
      <c r="X169" t="str">
        <f>_xlfn.XLOOKUP($P169,localities!$B$2:$B$49,localities!$J$2:$J$49,"NA")</f>
        <v>Norway</v>
      </c>
      <c r="Y169" t="str">
        <f>_xlfn.XLOOKUP($P169,localities!$B$2:$B$49,localities!$K$2:$K$49,"NA")</f>
        <v>Sør-Trøndelag</v>
      </c>
      <c r="Z169" t="str">
        <f>_xlfn.XLOOKUP($P169,localities!$B$2:$B$49,localities!$L$2:$L$49,"NA")</f>
        <v>Selbu</v>
      </c>
    </row>
    <row r="170" spans="2:26" x14ac:dyDescent="0.3">
      <c r="B170" t="s">
        <v>249</v>
      </c>
      <c r="C170" s="23">
        <v>3</v>
      </c>
      <c r="E170" t="s">
        <v>67</v>
      </c>
      <c r="F170" s="19">
        <f>_xlfn.XLOOKUP($E170,parent_events!$B$2:$B$56,parent_events!$C$2:$C$56,"NA")</f>
        <v>45421</v>
      </c>
      <c r="G170">
        <f>_xlfn.XLOOKUP($E170,parent_events!$B$2:$B$56,parent_events!$D$2:$D$56,"NA")</f>
        <v>2024</v>
      </c>
      <c r="H170">
        <f>_xlfn.XLOOKUP($E170,parent_events!$B$2:$B$56,parent_events!$E$2:$E$56,"NA")</f>
        <v>5</v>
      </c>
      <c r="I170">
        <f>_xlfn.XLOOKUP($E170,parent_events!$B$2:$B$56,parent_events!$F$2:$F$56,"NA")</f>
        <v>9</v>
      </c>
      <c r="J170">
        <f>_xlfn.XLOOKUP($E170,parent_events!$B$2:$B$56,parent_events!$G$2:$G$56,"NA")</f>
        <v>1</v>
      </c>
      <c r="K170" t="str">
        <f>_xlfn.XLOOKUP($E170,parent_events!$B$2:$B$56,parent_events!$H$2:$H$56,"NA")</f>
        <v>Rot (1 min)</v>
      </c>
      <c r="L170" t="str">
        <f>_xlfn.XLOOKUP($E170,parent_events!$B$2:$B$56,parent_events!$I$2:$I$56,"NA")</f>
        <v>"3 replicates of 1 minute kick samples"</v>
      </c>
      <c r="M170">
        <f>_xlfn.XLOOKUP($E170,parent_events!$B$2:$B$56,parent_events!$J$2:$J$56,"NA")</f>
        <v>1</v>
      </c>
      <c r="N170" s="23" t="str">
        <f>_xlfn.XLOOKUP($E170,parent_events!$B$2:$B$56,parent_events!$K$2:$K$56,"NA")</f>
        <v>decimalMinute</v>
      </c>
      <c r="P170" t="str">
        <f>_xlfn.XLOOKUP($E170,parent_events!$B$2:$B$56,parent_events!$L$2:$L$56,"NA")</f>
        <v>Stor-Drakstsjoen_st1</v>
      </c>
      <c r="Q170" t="str">
        <f>_xlfn.XLOOKUP($P170,localities!$B$2:$B$49,localities!$C$2:$C$49,"NA")</f>
        <v>Stor-Drakstsjøen</v>
      </c>
      <c r="R170">
        <f>_xlfn.XLOOKUP($P170,localities!$B$2:$B$49,localities!$D$2:$D$49,"NA")</f>
        <v>1</v>
      </c>
      <c r="S170">
        <f>_xlfn.XLOOKUP($P170,localities!$B$2:$B$49,localities!$E$2:$E$49,"NA")</f>
        <v>63.286461099999997</v>
      </c>
      <c r="T170">
        <f>_xlfn.XLOOKUP($P170,localities!$B$2:$B$49,localities!$F$2:$F$49,"NA")</f>
        <v>10.802471300000001</v>
      </c>
      <c r="U170" t="str">
        <f>_xlfn.XLOOKUP($P170,localities!$B$2:$B$49,localities!$G$2:$G$49,"NA")</f>
        <v>WGS84</v>
      </c>
      <c r="V170">
        <f>_xlfn.XLOOKUP($P170,localities!$B$2:$B$49,localities!$H$2:$H$49,"NA")</f>
        <v>5</v>
      </c>
      <c r="W170" t="str">
        <f>_xlfn.XLOOKUP($P170,localities!$B$2:$B$49,localities!$I$2:$I$49,"NA")</f>
        <v>NOR</v>
      </c>
      <c r="X170" t="str">
        <f>_xlfn.XLOOKUP($P170,localities!$B$2:$B$49,localities!$J$2:$J$49,"NA")</f>
        <v>Norway</v>
      </c>
      <c r="Y170" t="str">
        <f>_xlfn.XLOOKUP($P170,localities!$B$2:$B$49,localities!$K$2:$K$49,"NA")</f>
        <v>Sør-Trøndelag</v>
      </c>
      <c r="Z170" t="str">
        <f>_xlfn.XLOOKUP($P170,localities!$B$2:$B$49,localities!$L$2:$L$49,"NA")</f>
        <v>Selbu</v>
      </c>
    </row>
    <row r="171" spans="2:26" x14ac:dyDescent="0.3">
      <c r="B171" t="s">
        <v>237</v>
      </c>
      <c r="C171" s="23">
        <v>1</v>
      </c>
      <c r="E171" t="s">
        <v>209</v>
      </c>
      <c r="F171" s="19">
        <f>_xlfn.XLOOKUP($E171,parent_events!$B$2:$B$56,parent_events!$C$2:$C$56,"NA")</f>
        <v>45434</v>
      </c>
      <c r="G171">
        <f>_xlfn.XLOOKUP($E171,parent_events!$B$2:$B$56,parent_events!$D$2:$D$56,"NA")</f>
        <v>2024</v>
      </c>
      <c r="H171">
        <f>_xlfn.XLOOKUP($E171,parent_events!$B$2:$B$56,parent_events!$E$2:$E$56,"NA")</f>
        <v>5</v>
      </c>
      <c r="I171">
        <f>_xlfn.XLOOKUP($E171,parent_events!$B$2:$B$56,parent_events!$F$2:$F$56,"NA")</f>
        <v>22</v>
      </c>
      <c r="J171">
        <f>_xlfn.XLOOKUP($E171,parent_events!$B$2:$B$56,parent_events!$G$2:$G$56,"NA")</f>
        <v>2</v>
      </c>
      <c r="K171" t="str">
        <f>_xlfn.XLOOKUP($E171,parent_events!$B$2:$B$56,parent_events!$H$2:$H$56,"NA")</f>
        <v>Rot (1 min)</v>
      </c>
      <c r="L171" t="str">
        <f>_xlfn.XLOOKUP($E171,parent_events!$B$2:$B$56,parent_events!$I$2:$I$56,"NA")</f>
        <v>"3 replicates of 1 minute kick samples"</v>
      </c>
      <c r="M171">
        <f>_xlfn.XLOOKUP($E171,parent_events!$B$2:$B$56,parent_events!$J$2:$J$56,"NA")</f>
        <v>1</v>
      </c>
      <c r="N171" s="23" t="str">
        <f>_xlfn.XLOOKUP($E171,parent_events!$B$2:$B$56,parent_events!$K$2:$K$56,"NA")</f>
        <v>decimalMinute</v>
      </c>
      <c r="P171" t="str">
        <f>_xlfn.XLOOKUP($E171,parent_events!$B$2:$B$56,parent_events!$L$2:$L$56,"NA")</f>
        <v>Roksetvatnet_st1</v>
      </c>
      <c r="Q171" t="str">
        <f>_xlfn.XLOOKUP($P171,localities!$B$2:$B$49,localities!$C$2:$C$49,"NA")</f>
        <v>Roksetvatnet</v>
      </c>
      <c r="R171">
        <f>_xlfn.XLOOKUP($P171,localities!$B$2:$B$49,localities!$D$2:$D$49,"NA")</f>
        <v>1</v>
      </c>
      <c r="S171">
        <f>_xlfn.XLOOKUP($P171,localities!$B$2:$B$49,localities!$E$2:$E$49,"NA")</f>
        <v>63.654024200000002</v>
      </c>
      <c r="T171">
        <f>_xlfn.XLOOKUP($P171,localities!$B$2:$B$49,localities!$F$2:$F$49,"NA")</f>
        <v>10.066431400000001</v>
      </c>
      <c r="U171" t="str">
        <f>_xlfn.XLOOKUP($P171,localities!$B$2:$B$49,localities!$G$2:$G$49,"NA")</f>
        <v>WGS84</v>
      </c>
      <c r="V171">
        <f>_xlfn.XLOOKUP($P171,localities!$B$2:$B$49,localities!$H$2:$H$49,"NA")</f>
        <v>5</v>
      </c>
      <c r="W171" t="str">
        <f>_xlfn.XLOOKUP($P171,localities!$B$2:$B$49,localities!$I$2:$I$49,"NA")</f>
        <v>NOR</v>
      </c>
      <c r="X171" t="str">
        <f>_xlfn.XLOOKUP($P171,localities!$B$2:$B$49,localities!$J$2:$J$49,"NA")</f>
        <v>Norway</v>
      </c>
      <c r="Y171" t="str">
        <f>_xlfn.XLOOKUP($P171,localities!$B$2:$B$49,localities!$K$2:$K$49,"NA")</f>
        <v>Sør-Trøndelag</v>
      </c>
      <c r="Z171" t="str">
        <f>_xlfn.XLOOKUP($P171,localities!$B$2:$B$49,localities!$L$2:$L$49,"NA")</f>
        <v>Indre Fosen</v>
      </c>
    </row>
    <row r="172" spans="2:26" x14ac:dyDescent="0.3">
      <c r="B172" t="s">
        <v>250</v>
      </c>
      <c r="C172" s="23">
        <v>2</v>
      </c>
      <c r="E172" t="s">
        <v>209</v>
      </c>
      <c r="F172" s="19">
        <f>_xlfn.XLOOKUP($E172,parent_events!$B$2:$B$56,parent_events!$C$2:$C$56,"NA")</f>
        <v>45434</v>
      </c>
      <c r="G172">
        <f>_xlfn.XLOOKUP($E172,parent_events!$B$2:$B$56,parent_events!$D$2:$D$56,"NA")</f>
        <v>2024</v>
      </c>
      <c r="H172">
        <f>_xlfn.XLOOKUP($E172,parent_events!$B$2:$B$56,parent_events!$E$2:$E$56,"NA")</f>
        <v>5</v>
      </c>
      <c r="I172">
        <f>_xlfn.XLOOKUP($E172,parent_events!$B$2:$B$56,parent_events!$F$2:$F$56,"NA")</f>
        <v>22</v>
      </c>
      <c r="J172">
        <f>_xlfn.XLOOKUP($E172,parent_events!$B$2:$B$56,parent_events!$G$2:$G$56,"NA")</f>
        <v>2</v>
      </c>
      <c r="K172" t="str">
        <f>_xlfn.XLOOKUP($E172,parent_events!$B$2:$B$56,parent_events!$H$2:$H$56,"NA")</f>
        <v>Rot (1 min)</v>
      </c>
      <c r="L172" t="str">
        <f>_xlfn.XLOOKUP($E172,parent_events!$B$2:$B$56,parent_events!$I$2:$I$56,"NA")</f>
        <v>"3 replicates of 1 minute kick samples"</v>
      </c>
      <c r="M172">
        <f>_xlfn.XLOOKUP($E172,parent_events!$B$2:$B$56,parent_events!$J$2:$J$56,"NA")</f>
        <v>1</v>
      </c>
      <c r="N172" s="23" t="str">
        <f>_xlfn.XLOOKUP($E172,parent_events!$B$2:$B$56,parent_events!$K$2:$K$56,"NA")</f>
        <v>decimalMinute</v>
      </c>
      <c r="P172" t="str">
        <f>_xlfn.XLOOKUP($E172,parent_events!$B$2:$B$56,parent_events!$L$2:$L$56,"NA")</f>
        <v>Roksetvatnet_st1</v>
      </c>
      <c r="Q172" t="str">
        <f>_xlfn.XLOOKUP($P172,localities!$B$2:$B$49,localities!$C$2:$C$49,"NA")</f>
        <v>Roksetvatnet</v>
      </c>
      <c r="R172">
        <f>_xlfn.XLOOKUP($P172,localities!$B$2:$B$49,localities!$D$2:$D$49,"NA")</f>
        <v>1</v>
      </c>
      <c r="S172">
        <f>_xlfn.XLOOKUP($P172,localities!$B$2:$B$49,localities!$E$2:$E$49,"NA")</f>
        <v>63.654024200000002</v>
      </c>
      <c r="T172">
        <f>_xlfn.XLOOKUP($P172,localities!$B$2:$B$49,localities!$F$2:$F$49,"NA")</f>
        <v>10.066431400000001</v>
      </c>
      <c r="U172" t="str">
        <f>_xlfn.XLOOKUP($P172,localities!$B$2:$B$49,localities!$G$2:$G$49,"NA")</f>
        <v>WGS84</v>
      </c>
      <c r="V172">
        <f>_xlfn.XLOOKUP($P172,localities!$B$2:$B$49,localities!$H$2:$H$49,"NA")</f>
        <v>5</v>
      </c>
      <c r="W172" t="str">
        <f>_xlfn.XLOOKUP($P172,localities!$B$2:$B$49,localities!$I$2:$I$49,"NA")</f>
        <v>NOR</v>
      </c>
      <c r="X172" t="str">
        <f>_xlfn.XLOOKUP($P172,localities!$B$2:$B$49,localities!$J$2:$J$49,"NA")</f>
        <v>Norway</v>
      </c>
      <c r="Y172" t="str">
        <f>_xlfn.XLOOKUP($P172,localities!$B$2:$B$49,localities!$K$2:$K$49,"NA")</f>
        <v>Sør-Trøndelag</v>
      </c>
      <c r="Z172" t="str">
        <f>_xlfn.XLOOKUP($P172,localities!$B$2:$B$49,localities!$L$2:$L$49,"NA")</f>
        <v>Indre Fosen</v>
      </c>
    </row>
    <row r="173" spans="2:26" x14ac:dyDescent="0.3">
      <c r="B173" t="s">
        <v>251</v>
      </c>
      <c r="C173" s="23">
        <v>3</v>
      </c>
      <c r="E173" t="s">
        <v>209</v>
      </c>
      <c r="F173" s="19">
        <f>_xlfn.XLOOKUP($E173,parent_events!$B$2:$B$56,parent_events!$C$2:$C$56,"NA")</f>
        <v>45434</v>
      </c>
      <c r="G173">
        <f>_xlfn.XLOOKUP($E173,parent_events!$B$2:$B$56,parent_events!$D$2:$D$56,"NA")</f>
        <v>2024</v>
      </c>
      <c r="H173">
        <f>_xlfn.XLOOKUP($E173,parent_events!$B$2:$B$56,parent_events!$E$2:$E$56,"NA")</f>
        <v>5</v>
      </c>
      <c r="I173">
        <f>_xlfn.XLOOKUP($E173,parent_events!$B$2:$B$56,parent_events!$F$2:$F$56,"NA")</f>
        <v>22</v>
      </c>
      <c r="J173">
        <f>_xlfn.XLOOKUP($E173,parent_events!$B$2:$B$56,parent_events!$G$2:$G$56,"NA")</f>
        <v>2</v>
      </c>
      <c r="K173" t="str">
        <f>_xlfn.XLOOKUP($E173,parent_events!$B$2:$B$56,parent_events!$H$2:$H$56,"NA")</f>
        <v>Rot (1 min)</v>
      </c>
      <c r="L173" t="str">
        <f>_xlfn.XLOOKUP($E173,parent_events!$B$2:$B$56,parent_events!$I$2:$I$56,"NA")</f>
        <v>"3 replicates of 1 minute kick samples"</v>
      </c>
      <c r="M173">
        <f>_xlfn.XLOOKUP($E173,parent_events!$B$2:$B$56,parent_events!$J$2:$J$56,"NA")</f>
        <v>1</v>
      </c>
      <c r="N173" s="23" t="str">
        <f>_xlfn.XLOOKUP($E173,parent_events!$B$2:$B$56,parent_events!$K$2:$K$56,"NA")</f>
        <v>decimalMinute</v>
      </c>
      <c r="P173" t="str">
        <f>_xlfn.XLOOKUP($E173,parent_events!$B$2:$B$56,parent_events!$L$2:$L$56,"NA")</f>
        <v>Roksetvatnet_st1</v>
      </c>
      <c r="Q173" t="str">
        <f>_xlfn.XLOOKUP($P173,localities!$B$2:$B$49,localities!$C$2:$C$49,"NA")</f>
        <v>Roksetvatnet</v>
      </c>
      <c r="R173">
        <f>_xlfn.XLOOKUP($P173,localities!$B$2:$B$49,localities!$D$2:$D$49,"NA")</f>
        <v>1</v>
      </c>
      <c r="S173">
        <f>_xlfn.XLOOKUP($P173,localities!$B$2:$B$49,localities!$E$2:$E$49,"NA")</f>
        <v>63.654024200000002</v>
      </c>
      <c r="T173">
        <f>_xlfn.XLOOKUP($P173,localities!$B$2:$B$49,localities!$F$2:$F$49,"NA")</f>
        <v>10.066431400000001</v>
      </c>
      <c r="U173" t="str">
        <f>_xlfn.XLOOKUP($P173,localities!$B$2:$B$49,localities!$G$2:$G$49,"NA")</f>
        <v>WGS84</v>
      </c>
      <c r="V173">
        <f>_xlfn.XLOOKUP($P173,localities!$B$2:$B$49,localities!$H$2:$H$49,"NA")</f>
        <v>5</v>
      </c>
      <c r="W173" t="str">
        <f>_xlfn.XLOOKUP($P173,localities!$B$2:$B$49,localities!$I$2:$I$49,"NA")</f>
        <v>NOR</v>
      </c>
      <c r="X173" t="str">
        <f>_xlfn.XLOOKUP($P173,localities!$B$2:$B$49,localities!$J$2:$J$49,"NA")</f>
        <v>Norway</v>
      </c>
      <c r="Y173" t="str">
        <f>_xlfn.XLOOKUP($P173,localities!$B$2:$B$49,localities!$K$2:$K$49,"NA")</f>
        <v>Sør-Trøndelag</v>
      </c>
      <c r="Z173" t="str">
        <f>_xlfn.XLOOKUP($P173,localities!$B$2:$B$49,localities!$L$2:$L$49,"NA")</f>
        <v>Indre Fosen</v>
      </c>
    </row>
    <row r="174" spans="2:26" x14ac:dyDescent="0.3">
      <c r="B174" t="s">
        <v>238</v>
      </c>
      <c r="C174" s="23">
        <v>1</v>
      </c>
      <c r="E174" t="s">
        <v>210</v>
      </c>
      <c r="F174" s="19">
        <f>_xlfn.XLOOKUP($E174,parent_events!$B$2:$B$56,parent_events!$C$2:$C$56,"NA")</f>
        <v>45434</v>
      </c>
      <c r="G174">
        <f>_xlfn.XLOOKUP($E174,parent_events!$B$2:$B$56,parent_events!$D$2:$D$56,"NA")</f>
        <v>2024</v>
      </c>
      <c r="H174">
        <f>_xlfn.XLOOKUP($E174,parent_events!$B$2:$B$56,parent_events!$E$2:$E$56,"NA")</f>
        <v>5</v>
      </c>
      <c r="I174">
        <f>_xlfn.XLOOKUP($E174,parent_events!$B$2:$B$56,parent_events!$F$2:$F$56,"NA")</f>
        <v>22</v>
      </c>
      <c r="J174">
        <f>_xlfn.XLOOKUP($E174,parent_events!$B$2:$B$56,parent_events!$G$2:$G$56,"NA")</f>
        <v>2</v>
      </c>
      <c r="K174" t="str">
        <f>_xlfn.XLOOKUP($E174,parent_events!$B$2:$B$56,parent_events!$H$2:$H$56,"NA")</f>
        <v>Rot (1 min)</v>
      </c>
      <c r="L174" t="str">
        <f>_xlfn.XLOOKUP($E174,parent_events!$B$2:$B$56,parent_events!$I$2:$I$56,"NA")</f>
        <v>"3 replicates of 1 minute kick samples"</v>
      </c>
      <c r="M174">
        <f>_xlfn.XLOOKUP($E174,parent_events!$B$2:$B$56,parent_events!$J$2:$J$56,"NA")</f>
        <v>1</v>
      </c>
      <c r="N174" s="23" t="str">
        <f>_xlfn.XLOOKUP($E174,parent_events!$B$2:$B$56,parent_events!$K$2:$K$56,"NA")</f>
        <v>decimalMinute</v>
      </c>
      <c r="P174" t="str">
        <f>_xlfn.XLOOKUP($E174,parent_events!$B$2:$B$56,parent_events!$L$2:$L$56,"NA")</f>
        <v>Barsetvatnet_st1</v>
      </c>
      <c r="Q174" t="str">
        <f>_xlfn.XLOOKUP($P174,localities!$B$2:$B$49,localities!$C$2:$C$49,"NA")</f>
        <v>Barsetvatnet</v>
      </c>
      <c r="R174">
        <f>_xlfn.XLOOKUP($P174,localities!$B$2:$B$49,localities!$D$2:$D$49,"NA")</f>
        <v>1</v>
      </c>
      <c r="S174">
        <f>_xlfn.XLOOKUP($P174,localities!$B$2:$B$49,localities!$E$2:$E$49,"NA")</f>
        <v>63.797785500000003</v>
      </c>
      <c r="T174">
        <f>_xlfn.XLOOKUP($P174,localities!$B$2:$B$49,localities!$F$2:$F$49,"NA")</f>
        <v>9.8281852999999995</v>
      </c>
      <c r="U174" t="str">
        <f>_xlfn.XLOOKUP($P174,localities!$B$2:$B$49,localities!$G$2:$G$49,"NA")</f>
        <v>WGS84</v>
      </c>
      <c r="V174">
        <f>_xlfn.XLOOKUP($P174,localities!$B$2:$B$49,localities!$H$2:$H$49,"NA")</f>
        <v>5</v>
      </c>
      <c r="W174" t="str">
        <f>_xlfn.XLOOKUP($P174,localities!$B$2:$B$49,localities!$I$2:$I$49,"NA")</f>
        <v>NOR</v>
      </c>
      <c r="X174" t="str">
        <f>_xlfn.XLOOKUP($P174,localities!$B$2:$B$49,localities!$J$2:$J$49,"NA")</f>
        <v>Norway</v>
      </c>
      <c r="Y174" t="str">
        <f>_xlfn.XLOOKUP($P174,localities!$B$2:$B$49,localities!$K$2:$K$49,"NA")</f>
        <v>Sør-Trøndelag</v>
      </c>
      <c r="Z174" t="str">
        <f>_xlfn.XLOOKUP($P174,localities!$B$2:$B$49,localities!$L$2:$L$49,"NA")</f>
        <v>Ørland</v>
      </c>
    </row>
    <row r="175" spans="2:26" x14ac:dyDescent="0.3">
      <c r="B175" t="s">
        <v>252</v>
      </c>
      <c r="C175" s="23">
        <v>2</v>
      </c>
      <c r="E175" t="s">
        <v>210</v>
      </c>
      <c r="F175" s="19">
        <f>_xlfn.XLOOKUP($E175,parent_events!$B$2:$B$56,parent_events!$C$2:$C$56,"NA")</f>
        <v>45434</v>
      </c>
      <c r="G175">
        <f>_xlfn.XLOOKUP($E175,parent_events!$B$2:$B$56,parent_events!$D$2:$D$56,"NA")</f>
        <v>2024</v>
      </c>
      <c r="H175">
        <f>_xlfn.XLOOKUP($E175,parent_events!$B$2:$B$56,parent_events!$E$2:$E$56,"NA")</f>
        <v>5</v>
      </c>
      <c r="I175">
        <f>_xlfn.XLOOKUP($E175,parent_events!$B$2:$B$56,parent_events!$F$2:$F$56,"NA")</f>
        <v>22</v>
      </c>
      <c r="J175">
        <f>_xlfn.XLOOKUP($E175,parent_events!$B$2:$B$56,parent_events!$G$2:$G$56,"NA")</f>
        <v>2</v>
      </c>
      <c r="K175" t="str">
        <f>_xlfn.XLOOKUP($E175,parent_events!$B$2:$B$56,parent_events!$H$2:$H$56,"NA")</f>
        <v>Rot (1 min)</v>
      </c>
      <c r="L175" t="str">
        <f>_xlfn.XLOOKUP($E175,parent_events!$B$2:$B$56,parent_events!$I$2:$I$56,"NA")</f>
        <v>"3 replicates of 1 minute kick samples"</v>
      </c>
      <c r="M175">
        <f>_xlfn.XLOOKUP($E175,parent_events!$B$2:$B$56,parent_events!$J$2:$J$56,"NA")</f>
        <v>1</v>
      </c>
      <c r="N175" s="23" t="str">
        <f>_xlfn.XLOOKUP($E175,parent_events!$B$2:$B$56,parent_events!$K$2:$K$56,"NA")</f>
        <v>decimalMinute</v>
      </c>
      <c r="P175" t="str">
        <f>_xlfn.XLOOKUP($E175,parent_events!$B$2:$B$56,parent_events!$L$2:$L$56,"NA")</f>
        <v>Barsetvatnet_st1</v>
      </c>
      <c r="Q175" t="str">
        <f>_xlfn.XLOOKUP($P175,localities!$B$2:$B$49,localities!$C$2:$C$49,"NA")</f>
        <v>Barsetvatnet</v>
      </c>
      <c r="R175">
        <f>_xlfn.XLOOKUP($P175,localities!$B$2:$B$49,localities!$D$2:$D$49,"NA")</f>
        <v>1</v>
      </c>
      <c r="S175">
        <f>_xlfn.XLOOKUP($P175,localities!$B$2:$B$49,localities!$E$2:$E$49,"NA")</f>
        <v>63.797785500000003</v>
      </c>
      <c r="T175">
        <f>_xlfn.XLOOKUP($P175,localities!$B$2:$B$49,localities!$F$2:$F$49,"NA")</f>
        <v>9.8281852999999995</v>
      </c>
      <c r="U175" t="str">
        <f>_xlfn.XLOOKUP($P175,localities!$B$2:$B$49,localities!$G$2:$G$49,"NA")</f>
        <v>WGS84</v>
      </c>
      <c r="V175">
        <f>_xlfn.XLOOKUP($P175,localities!$B$2:$B$49,localities!$H$2:$H$49,"NA")</f>
        <v>5</v>
      </c>
      <c r="W175" t="str">
        <f>_xlfn.XLOOKUP($P175,localities!$B$2:$B$49,localities!$I$2:$I$49,"NA")</f>
        <v>NOR</v>
      </c>
      <c r="X175" t="str">
        <f>_xlfn.XLOOKUP($P175,localities!$B$2:$B$49,localities!$J$2:$J$49,"NA")</f>
        <v>Norway</v>
      </c>
      <c r="Y175" t="str">
        <f>_xlfn.XLOOKUP($P175,localities!$B$2:$B$49,localities!$K$2:$K$49,"NA")</f>
        <v>Sør-Trøndelag</v>
      </c>
      <c r="Z175" t="str">
        <f>_xlfn.XLOOKUP($P175,localities!$B$2:$B$49,localities!$L$2:$L$49,"NA")</f>
        <v>Ørland</v>
      </c>
    </row>
    <row r="176" spans="2:26" x14ac:dyDescent="0.3">
      <c r="B176" t="s">
        <v>253</v>
      </c>
      <c r="C176" s="23">
        <v>3</v>
      </c>
      <c r="E176" t="s">
        <v>210</v>
      </c>
      <c r="F176" s="19">
        <f>_xlfn.XLOOKUP($E176,parent_events!$B$2:$B$56,parent_events!$C$2:$C$56,"NA")</f>
        <v>45434</v>
      </c>
      <c r="G176">
        <f>_xlfn.XLOOKUP($E176,parent_events!$B$2:$B$56,parent_events!$D$2:$D$56,"NA")</f>
        <v>2024</v>
      </c>
      <c r="H176">
        <f>_xlfn.XLOOKUP($E176,parent_events!$B$2:$B$56,parent_events!$E$2:$E$56,"NA")</f>
        <v>5</v>
      </c>
      <c r="I176">
        <f>_xlfn.XLOOKUP($E176,parent_events!$B$2:$B$56,parent_events!$F$2:$F$56,"NA")</f>
        <v>22</v>
      </c>
      <c r="J176">
        <f>_xlfn.XLOOKUP($E176,parent_events!$B$2:$B$56,parent_events!$G$2:$G$56,"NA")</f>
        <v>2</v>
      </c>
      <c r="K176" t="str">
        <f>_xlfn.XLOOKUP($E176,parent_events!$B$2:$B$56,parent_events!$H$2:$H$56,"NA")</f>
        <v>Rot (1 min)</v>
      </c>
      <c r="L176" t="str">
        <f>_xlfn.XLOOKUP($E176,parent_events!$B$2:$B$56,parent_events!$I$2:$I$56,"NA")</f>
        <v>"3 replicates of 1 minute kick samples"</v>
      </c>
      <c r="M176">
        <f>_xlfn.XLOOKUP($E176,parent_events!$B$2:$B$56,parent_events!$J$2:$J$56,"NA")</f>
        <v>1</v>
      </c>
      <c r="N176" s="23" t="str">
        <f>_xlfn.XLOOKUP($E176,parent_events!$B$2:$B$56,parent_events!$K$2:$K$56,"NA")</f>
        <v>decimalMinute</v>
      </c>
      <c r="P176" t="str">
        <f>_xlfn.XLOOKUP($E176,parent_events!$B$2:$B$56,parent_events!$L$2:$L$56,"NA")</f>
        <v>Barsetvatnet_st1</v>
      </c>
      <c r="Q176" t="str">
        <f>_xlfn.XLOOKUP($P176,localities!$B$2:$B$49,localities!$C$2:$C$49,"NA")</f>
        <v>Barsetvatnet</v>
      </c>
      <c r="R176">
        <f>_xlfn.XLOOKUP($P176,localities!$B$2:$B$49,localities!$D$2:$D$49,"NA")</f>
        <v>1</v>
      </c>
      <c r="S176">
        <f>_xlfn.XLOOKUP($P176,localities!$B$2:$B$49,localities!$E$2:$E$49,"NA")</f>
        <v>63.797785500000003</v>
      </c>
      <c r="T176">
        <f>_xlfn.XLOOKUP($P176,localities!$B$2:$B$49,localities!$F$2:$F$49,"NA")</f>
        <v>9.8281852999999995</v>
      </c>
      <c r="U176" t="str">
        <f>_xlfn.XLOOKUP($P176,localities!$B$2:$B$49,localities!$G$2:$G$49,"NA")</f>
        <v>WGS84</v>
      </c>
      <c r="V176">
        <f>_xlfn.XLOOKUP($P176,localities!$B$2:$B$49,localities!$H$2:$H$49,"NA")</f>
        <v>5</v>
      </c>
      <c r="W176" t="str">
        <f>_xlfn.XLOOKUP($P176,localities!$B$2:$B$49,localities!$I$2:$I$49,"NA")</f>
        <v>NOR</v>
      </c>
      <c r="X176" t="str">
        <f>_xlfn.XLOOKUP($P176,localities!$B$2:$B$49,localities!$J$2:$J$49,"NA")</f>
        <v>Norway</v>
      </c>
      <c r="Y176" t="str">
        <f>_xlfn.XLOOKUP($P176,localities!$B$2:$B$49,localities!$K$2:$K$49,"NA")</f>
        <v>Sør-Trøndelag</v>
      </c>
      <c r="Z176" t="str">
        <f>_xlfn.XLOOKUP($P176,localities!$B$2:$B$49,localities!$L$2:$L$49,"NA")</f>
        <v>Ørland</v>
      </c>
    </row>
    <row r="177" spans="2:26" x14ac:dyDescent="0.3">
      <c r="B177" t="s">
        <v>241</v>
      </c>
      <c r="C177" s="23">
        <v>1</v>
      </c>
      <c r="E177" t="s">
        <v>211</v>
      </c>
      <c r="F177" s="19">
        <f>_xlfn.XLOOKUP($E177,parent_events!$B$2:$B$56,parent_events!$C$2:$C$56,"NA")</f>
        <v>45434</v>
      </c>
      <c r="G177">
        <f>_xlfn.XLOOKUP($E177,parent_events!$B$2:$B$56,parent_events!$D$2:$D$56,"NA")</f>
        <v>2024</v>
      </c>
      <c r="H177">
        <f>_xlfn.XLOOKUP($E177,parent_events!$B$2:$B$56,parent_events!$E$2:$E$56,"NA")</f>
        <v>5</v>
      </c>
      <c r="I177">
        <f>_xlfn.XLOOKUP($E177,parent_events!$B$2:$B$56,parent_events!$F$2:$F$56,"NA")</f>
        <v>22</v>
      </c>
      <c r="J177">
        <f>_xlfn.XLOOKUP($E177,parent_events!$B$2:$B$56,parent_events!$G$2:$G$56,"NA")</f>
        <v>2</v>
      </c>
      <c r="K177" t="str">
        <f>_xlfn.XLOOKUP($E177,parent_events!$B$2:$B$56,parent_events!$H$2:$H$56,"NA")</f>
        <v>Rot (1 min)</v>
      </c>
      <c r="L177" t="str">
        <f>_xlfn.XLOOKUP($E177,parent_events!$B$2:$B$56,parent_events!$I$2:$I$56,"NA")</f>
        <v>"3 replicates of 1 minute kick samples"</v>
      </c>
      <c r="M177">
        <f>_xlfn.XLOOKUP($E177,parent_events!$B$2:$B$56,parent_events!$J$2:$J$56,"NA")</f>
        <v>1</v>
      </c>
      <c r="N177" s="23" t="str">
        <f>_xlfn.XLOOKUP($E177,parent_events!$B$2:$B$56,parent_events!$K$2:$K$56,"NA")</f>
        <v>decimalMinute</v>
      </c>
      <c r="P177" t="str">
        <f>_xlfn.XLOOKUP($E177,parent_events!$B$2:$B$56,parent_events!$L$2:$L$56,"NA")</f>
        <v>Gjoljavatnet_st1</v>
      </c>
      <c r="Q177" t="str">
        <f>_xlfn.XLOOKUP($P177,localities!$B$2:$B$49,localities!$C$2:$C$49,"NA")</f>
        <v>Gjøljavatnet</v>
      </c>
      <c r="R177">
        <f>_xlfn.XLOOKUP($P177,localities!$B$2:$B$49,localities!$D$2:$D$49,"NA")</f>
        <v>1</v>
      </c>
      <c r="S177">
        <f>_xlfn.XLOOKUP($P177,localities!$B$2:$B$49,localities!$E$2:$E$49,"NA")</f>
        <v>63.789260900000002</v>
      </c>
      <c r="T177">
        <f>_xlfn.XLOOKUP($P177,localities!$B$2:$B$49,localities!$F$2:$F$49,"NA")</f>
        <v>10.0251734</v>
      </c>
      <c r="U177" t="str">
        <f>_xlfn.XLOOKUP($P177,localities!$B$2:$B$49,localities!$G$2:$G$49,"NA")</f>
        <v>WGS84</v>
      </c>
      <c r="V177">
        <f>_xlfn.XLOOKUP($P177,localities!$B$2:$B$49,localities!$H$2:$H$49,"NA")</f>
        <v>5</v>
      </c>
      <c r="W177" t="str">
        <f>_xlfn.XLOOKUP($P177,localities!$B$2:$B$49,localities!$I$2:$I$49,"NA")</f>
        <v>NOR</v>
      </c>
      <c r="X177" t="str">
        <f>_xlfn.XLOOKUP($P177,localities!$B$2:$B$49,localities!$J$2:$J$49,"NA")</f>
        <v>Norway</v>
      </c>
      <c r="Y177" t="str">
        <f>_xlfn.XLOOKUP($P177,localities!$B$2:$B$49,localities!$K$2:$K$49,"NA")</f>
        <v>Sør-Trøndelag</v>
      </c>
      <c r="Z177" t="str">
        <f>_xlfn.XLOOKUP($P177,localities!$B$2:$B$49,localities!$L$2:$L$49,"NA")</f>
        <v>Indre Fosen</v>
      </c>
    </row>
    <row r="178" spans="2:26" x14ac:dyDescent="0.3">
      <c r="B178" t="s">
        <v>254</v>
      </c>
      <c r="C178" s="23">
        <v>2</v>
      </c>
      <c r="E178" t="s">
        <v>211</v>
      </c>
      <c r="F178" s="19">
        <f>_xlfn.XLOOKUP($E178,parent_events!$B$2:$B$56,parent_events!$C$2:$C$56,"NA")</f>
        <v>45434</v>
      </c>
      <c r="G178">
        <f>_xlfn.XLOOKUP($E178,parent_events!$B$2:$B$56,parent_events!$D$2:$D$56,"NA")</f>
        <v>2024</v>
      </c>
      <c r="H178">
        <f>_xlfn.XLOOKUP($E178,parent_events!$B$2:$B$56,parent_events!$E$2:$E$56,"NA")</f>
        <v>5</v>
      </c>
      <c r="I178">
        <f>_xlfn.XLOOKUP($E178,parent_events!$B$2:$B$56,parent_events!$F$2:$F$56,"NA")</f>
        <v>22</v>
      </c>
      <c r="J178">
        <f>_xlfn.XLOOKUP($E178,parent_events!$B$2:$B$56,parent_events!$G$2:$G$56,"NA")</f>
        <v>2</v>
      </c>
      <c r="K178" t="str">
        <f>_xlfn.XLOOKUP($E178,parent_events!$B$2:$B$56,parent_events!$H$2:$H$56,"NA")</f>
        <v>Rot (1 min)</v>
      </c>
      <c r="L178" t="str">
        <f>_xlfn.XLOOKUP($E178,parent_events!$B$2:$B$56,parent_events!$I$2:$I$56,"NA")</f>
        <v>"3 replicates of 1 minute kick samples"</v>
      </c>
      <c r="M178">
        <f>_xlfn.XLOOKUP($E178,parent_events!$B$2:$B$56,parent_events!$J$2:$J$56,"NA")</f>
        <v>1</v>
      </c>
      <c r="N178" s="23" t="str">
        <f>_xlfn.XLOOKUP($E178,parent_events!$B$2:$B$56,parent_events!$K$2:$K$56,"NA")</f>
        <v>decimalMinute</v>
      </c>
      <c r="P178" t="str">
        <f>_xlfn.XLOOKUP($E178,parent_events!$B$2:$B$56,parent_events!$L$2:$L$56,"NA")</f>
        <v>Gjoljavatnet_st1</v>
      </c>
      <c r="Q178" t="str">
        <f>_xlfn.XLOOKUP($P178,localities!$B$2:$B$49,localities!$C$2:$C$49,"NA")</f>
        <v>Gjøljavatnet</v>
      </c>
      <c r="R178">
        <f>_xlfn.XLOOKUP($P178,localities!$B$2:$B$49,localities!$D$2:$D$49,"NA")</f>
        <v>1</v>
      </c>
      <c r="S178">
        <f>_xlfn.XLOOKUP($P178,localities!$B$2:$B$49,localities!$E$2:$E$49,"NA")</f>
        <v>63.789260900000002</v>
      </c>
      <c r="T178">
        <f>_xlfn.XLOOKUP($P178,localities!$B$2:$B$49,localities!$F$2:$F$49,"NA")</f>
        <v>10.0251734</v>
      </c>
      <c r="U178" t="str">
        <f>_xlfn.XLOOKUP($P178,localities!$B$2:$B$49,localities!$G$2:$G$49,"NA")</f>
        <v>WGS84</v>
      </c>
      <c r="V178">
        <f>_xlfn.XLOOKUP($P178,localities!$B$2:$B$49,localities!$H$2:$H$49,"NA")</f>
        <v>5</v>
      </c>
      <c r="W178" t="str">
        <f>_xlfn.XLOOKUP($P178,localities!$B$2:$B$49,localities!$I$2:$I$49,"NA")</f>
        <v>NOR</v>
      </c>
      <c r="X178" t="str">
        <f>_xlfn.XLOOKUP($P178,localities!$B$2:$B$49,localities!$J$2:$J$49,"NA")</f>
        <v>Norway</v>
      </c>
      <c r="Y178" t="str">
        <f>_xlfn.XLOOKUP($P178,localities!$B$2:$B$49,localities!$K$2:$K$49,"NA")</f>
        <v>Sør-Trøndelag</v>
      </c>
      <c r="Z178" t="str">
        <f>_xlfn.XLOOKUP($P178,localities!$B$2:$B$49,localities!$L$2:$L$49,"NA")</f>
        <v>Indre Fosen</v>
      </c>
    </row>
    <row r="179" spans="2:26" x14ac:dyDescent="0.3">
      <c r="B179" t="s">
        <v>255</v>
      </c>
      <c r="C179" s="23">
        <v>3</v>
      </c>
      <c r="E179" t="s">
        <v>211</v>
      </c>
      <c r="F179" s="19">
        <f>_xlfn.XLOOKUP($E179,parent_events!$B$2:$B$56,parent_events!$C$2:$C$56,"NA")</f>
        <v>45434</v>
      </c>
      <c r="G179">
        <f>_xlfn.XLOOKUP($E179,parent_events!$B$2:$B$56,parent_events!$D$2:$D$56,"NA")</f>
        <v>2024</v>
      </c>
      <c r="H179">
        <f>_xlfn.XLOOKUP($E179,parent_events!$B$2:$B$56,parent_events!$E$2:$E$56,"NA")</f>
        <v>5</v>
      </c>
      <c r="I179">
        <f>_xlfn.XLOOKUP($E179,parent_events!$B$2:$B$56,parent_events!$F$2:$F$56,"NA")</f>
        <v>22</v>
      </c>
      <c r="J179">
        <f>_xlfn.XLOOKUP($E179,parent_events!$B$2:$B$56,parent_events!$G$2:$G$56,"NA")</f>
        <v>2</v>
      </c>
      <c r="K179" t="str">
        <f>_xlfn.XLOOKUP($E179,parent_events!$B$2:$B$56,parent_events!$H$2:$H$56,"NA")</f>
        <v>Rot (1 min)</v>
      </c>
      <c r="L179" t="str">
        <f>_xlfn.XLOOKUP($E179,parent_events!$B$2:$B$56,parent_events!$I$2:$I$56,"NA")</f>
        <v>"3 replicates of 1 minute kick samples"</v>
      </c>
      <c r="M179">
        <f>_xlfn.XLOOKUP($E179,parent_events!$B$2:$B$56,parent_events!$J$2:$J$56,"NA")</f>
        <v>1</v>
      </c>
      <c r="N179" s="23" t="str">
        <f>_xlfn.XLOOKUP($E179,parent_events!$B$2:$B$56,parent_events!$K$2:$K$56,"NA")</f>
        <v>decimalMinute</v>
      </c>
      <c r="P179" t="str">
        <f>_xlfn.XLOOKUP($E179,parent_events!$B$2:$B$56,parent_events!$L$2:$L$56,"NA")</f>
        <v>Gjoljavatnet_st1</v>
      </c>
      <c r="Q179" t="str">
        <f>_xlfn.XLOOKUP($P179,localities!$B$2:$B$49,localities!$C$2:$C$49,"NA")</f>
        <v>Gjøljavatnet</v>
      </c>
      <c r="R179">
        <f>_xlfn.XLOOKUP($P179,localities!$B$2:$B$49,localities!$D$2:$D$49,"NA")</f>
        <v>1</v>
      </c>
      <c r="S179">
        <f>_xlfn.XLOOKUP($P179,localities!$B$2:$B$49,localities!$E$2:$E$49,"NA")</f>
        <v>63.789260900000002</v>
      </c>
      <c r="T179">
        <f>_xlfn.XLOOKUP($P179,localities!$B$2:$B$49,localities!$F$2:$F$49,"NA")</f>
        <v>10.0251734</v>
      </c>
      <c r="U179" t="str">
        <f>_xlfn.XLOOKUP($P179,localities!$B$2:$B$49,localities!$G$2:$G$49,"NA")</f>
        <v>WGS84</v>
      </c>
      <c r="V179">
        <f>_xlfn.XLOOKUP($P179,localities!$B$2:$B$49,localities!$H$2:$H$49,"NA")</f>
        <v>5</v>
      </c>
      <c r="W179" t="str">
        <f>_xlfn.XLOOKUP($P179,localities!$B$2:$B$49,localities!$I$2:$I$49,"NA")</f>
        <v>NOR</v>
      </c>
      <c r="X179" t="str">
        <f>_xlfn.XLOOKUP($P179,localities!$B$2:$B$49,localities!$J$2:$J$49,"NA")</f>
        <v>Norway</v>
      </c>
      <c r="Y179" t="str">
        <f>_xlfn.XLOOKUP($P179,localities!$B$2:$B$49,localities!$K$2:$K$49,"NA")</f>
        <v>Sør-Trøndelag</v>
      </c>
      <c r="Z179" t="str">
        <f>_xlfn.XLOOKUP($P179,localities!$B$2:$B$49,localities!$L$2:$L$49,"NA")</f>
        <v>Indre Fosen</v>
      </c>
    </row>
    <row r="180" spans="2:26" x14ac:dyDescent="0.3">
      <c r="B180" t="s">
        <v>242</v>
      </c>
      <c r="C180" s="23">
        <v>1</v>
      </c>
      <c r="E180" t="s">
        <v>212</v>
      </c>
      <c r="F180" s="19">
        <f>_xlfn.XLOOKUP($E180,parent_events!$B$2:$B$56,parent_events!$C$2:$C$56,"NA")</f>
        <v>45434</v>
      </c>
      <c r="G180">
        <f>_xlfn.XLOOKUP($E180,parent_events!$B$2:$B$56,parent_events!$D$2:$D$56,"NA")</f>
        <v>2024</v>
      </c>
      <c r="H180">
        <f>_xlfn.XLOOKUP($E180,parent_events!$B$2:$B$56,parent_events!$E$2:$E$56,"NA")</f>
        <v>5</v>
      </c>
      <c r="I180">
        <f>_xlfn.XLOOKUP($E180,parent_events!$B$2:$B$56,parent_events!$F$2:$F$56,"NA")</f>
        <v>22</v>
      </c>
      <c r="J180">
        <f>_xlfn.XLOOKUP($E180,parent_events!$B$2:$B$56,parent_events!$G$2:$G$56,"NA")</f>
        <v>2</v>
      </c>
      <c r="K180" t="str">
        <f>_xlfn.XLOOKUP($E180,parent_events!$B$2:$B$56,parent_events!$H$2:$H$56,"NA")</f>
        <v>Rot (1 min)</v>
      </c>
      <c r="L180" t="str">
        <f>_xlfn.XLOOKUP($E180,parent_events!$B$2:$B$56,parent_events!$I$2:$I$56,"NA")</f>
        <v>"3 replicates of 1 minute kick samples"</v>
      </c>
      <c r="M180">
        <f>_xlfn.XLOOKUP($E180,parent_events!$B$2:$B$56,parent_events!$J$2:$J$56,"NA")</f>
        <v>1</v>
      </c>
      <c r="N180" s="23" t="str">
        <f>_xlfn.XLOOKUP($E180,parent_events!$B$2:$B$56,parent_events!$K$2:$K$56,"NA")</f>
        <v>decimalMinute</v>
      </c>
      <c r="P180" t="str">
        <f>_xlfn.XLOOKUP($E180,parent_events!$B$2:$B$56,parent_events!$L$2:$L$56,"NA")</f>
        <v>Storvatnet_st1</v>
      </c>
      <c r="Q180" t="str">
        <f>_xlfn.XLOOKUP($P180,localities!$B$2:$B$49,localities!$C$2:$C$49,"NA")</f>
        <v>Storvatnet</v>
      </c>
      <c r="R180">
        <f>_xlfn.XLOOKUP($P180,localities!$B$2:$B$49,localities!$D$2:$D$49,"NA")</f>
        <v>1</v>
      </c>
      <c r="S180">
        <f>_xlfn.XLOOKUP($P180,localities!$B$2:$B$49,localities!$E$2:$E$49,"NA")</f>
        <v>63.621177600000003</v>
      </c>
      <c r="T180">
        <f>_xlfn.XLOOKUP($P180,localities!$B$2:$B$49,localities!$F$2:$F$49,"NA")</f>
        <v>10.2333759</v>
      </c>
      <c r="U180" t="str">
        <f>_xlfn.XLOOKUP($P180,localities!$B$2:$B$49,localities!$G$2:$G$49,"NA")</f>
        <v>WGS84</v>
      </c>
      <c r="V180">
        <f>_xlfn.XLOOKUP($P180,localities!$B$2:$B$49,localities!$H$2:$H$49,"NA")</f>
        <v>5</v>
      </c>
      <c r="W180" t="str">
        <f>_xlfn.XLOOKUP($P180,localities!$B$2:$B$49,localities!$I$2:$I$49,"NA")</f>
        <v>NOR</v>
      </c>
      <c r="X180" t="str">
        <f>_xlfn.XLOOKUP($P180,localities!$B$2:$B$49,localities!$J$2:$J$49,"NA")</f>
        <v>Norway</v>
      </c>
      <c r="Y180" t="str">
        <f>_xlfn.XLOOKUP($P180,localities!$B$2:$B$49,localities!$K$2:$K$49,"NA")</f>
        <v>Nord-Trøndelag</v>
      </c>
      <c r="Z180" t="str">
        <f>_xlfn.XLOOKUP($P180,localities!$B$2:$B$49,localities!$L$2:$L$49,"NA")</f>
        <v>Indre Fosen</v>
      </c>
    </row>
    <row r="181" spans="2:26" x14ac:dyDescent="0.3">
      <c r="B181" t="s">
        <v>269</v>
      </c>
      <c r="C181" s="23">
        <v>2</v>
      </c>
      <c r="E181" t="s">
        <v>212</v>
      </c>
      <c r="F181" s="19">
        <f>_xlfn.XLOOKUP($E181,parent_events!$B$2:$B$56,parent_events!$C$2:$C$56,"NA")</f>
        <v>45434</v>
      </c>
      <c r="G181">
        <f>_xlfn.XLOOKUP($E181,parent_events!$B$2:$B$56,parent_events!$D$2:$D$56,"NA")</f>
        <v>2024</v>
      </c>
      <c r="H181">
        <f>_xlfn.XLOOKUP($E181,parent_events!$B$2:$B$56,parent_events!$E$2:$E$56,"NA")</f>
        <v>5</v>
      </c>
      <c r="I181">
        <f>_xlfn.XLOOKUP($E181,parent_events!$B$2:$B$56,parent_events!$F$2:$F$56,"NA")</f>
        <v>22</v>
      </c>
      <c r="J181">
        <f>_xlfn.XLOOKUP($E181,parent_events!$B$2:$B$56,parent_events!$G$2:$G$56,"NA")</f>
        <v>2</v>
      </c>
      <c r="K181" t="str">
        <f>_xlfn.XLOOKUP($E181,parent_events!$B$2:$B$56,parent_events!$H$2:$H$56,"NA")</f>
        <v>Rot (1 min)</v>
      </c>
      <c r="L181" t="str">
        <f>_xlfn.XLOOKUP($E181,parent_events!$B$2:$B$56,parent_events!$I$2:$I$56,"NA")</f>
        <v>"3 replicates of 1 minute kick samples"</v>
      </c>
      <c r="M181">
        <f>_xlfn.XLOOKUP($E181,parent_events!$B$2:$B$56,parent_events!$J$2:$J$56,"NA")</f>
        <v>1</v>
      </c>
      <c r="N181" s="23" t="str">
        <f>_xlfn.XLOOKUP($E181,parent_events!$B$2:$B$56,parent_events!$K$2:$K$56,"NA")</f>
        <v>decimalMinute</v>
      </c>
      <c r="P181" t="str">
        <f>_xlfn.XLOOKUP($E181,parent_events!$B$2:$B$56,parent_events!$L$2:$L$56,"NA")</f>
        <v>Storvatnet_st1</v>
      </c>
      <c r="Q181" t="str">
        <f>_xlfn.XLOOKUP($P181,localities!$B$2:$B$49,localities!$C$2:$C$49,"NA")</f>
        <v>Storvatnet</v>
      </c>
      <c r="R181">
        <f>_xlfn.XLOOKUP($P181,localities!$B$2:$B$49,localities!$D$2:$D$49,"NA")</f>
        <v>1</v>
      </c>
      <c r="S181">
        <f>_xlfn.XLOOKUP($P181,localities!$B$2:$B$49,localities!$E$2:$E$49,"NA")</f>
        <v>63.621177600000003</v>
      </c>
      <c r="T181">
        <f>_xlfn.XLOOKUP($P181,localities!$B$2:$B$49,localities!$F$2:$F$49,"NA")</f>
        <v>10.2333759</v>
      </c>
      <c r="U181" t="str">
        <f>_xlfn.XLOOKUP($P181,localities!$B$2:$B$49,localities!$G$2:$G$49,"NA")</f>
        <v>WGS84</v>
      </c>
      <c r="V181">
        <f>_xlfn.XLOOKUP($P181,localities!$B$2:$B$49,localities!$H$2:$H$49,"NA")</f>
        <v>5</v>
      </c>
      <c r="W181" t="str">
        <f>_xlfn.XLOOKUP($P181,localities!$B$2:$B$49,localities!$I$2:$I$49,"NA")</f>
        <v>NOR</v>
      </c>
      <c r="X181" t="str">
        <f>_xlfn.XLOOKUP($P181,localities!$B$2:$B$49,localities!$J$2:$J$49,"NA")</f>
        <v>Norway</v>
      </c>
      <c r="Y181" t="str">
        <f>_xlfn.XLOOKUP($P181,localities!$B$2:$B$49,localities!$K$2:$K$49,"NA")</f>
        <v>Nord-Trøndelag</v>
      </c>
      <c r="Z181" t="str">
        <f>_xlfn.XLOOKUP($P181,localities!$B$2:$B$49,localities!$L$2:$L$49,"NA")</f>
        <v>Indre Fosen</v>
      </c>
    </row>
    <row r="182" spans="2:26" x14ac:dyDescent="0.3">
      <c r="B182" t="s">
        <v>270</v>
      </c>
      <c r="C182" s="23">
        <v>3</v>
      </c>
      <c r="E182" t="s">
        <v>212</v>
      </c>
      <c r="F182" s="19">
        <f>_xlfn.XLOOKUP($E182,parent_events!$B$2:$B$56,parent_events!$C$2:$C$56,"NA")</f>
        <v>45434</v>
      </c>
      <c r="G182">
        <f>_xlfn.XLOOKUP($E182,parent_events!$B$2:$B$56,parent_events!$D$2:$D$56,"NA")</f>
        <v>2024</v>
      </c>
      <c r="H182">
        <f>_xlfn.XLOOKUP($E182,parent_events!$B$2:$B$56,parent_events!$E$2:$E$56,"NA")</f>
        <v>5</v>
      </c>
      <c r="I182">
        <f>_xlfn.XLOOKUP($E182,parent_events!$B$2:$B$56,parent_events!$F$2:$F$56,"NA")</f>
        <v>22</v>
      </c>
      <c r="J182">
        <f>_xlfn.XLOOKUP($E182,parent_events!$B$2:$B$56,parent_events!$G$2:$G$56,"NA")</f>
        <v>2</v>
      </c>
      <c r="K182" t="str">
        <f>_xlfn.XLOOKUP($E182,parent_events!$B$2:$B$56,parent_events!$H$2:$H$56,"NA")</f>
        <v>Rot (1 min)</v>
      </c>
      <c r="L182" t="str">
        <f>_xlfn.XLOOKUP($E182,parent_events!$B$2:$B$56,parent_events!$I$2:$I$56,"NA")</f>
        <v>"3 replicates of 1 minute kick samples"</v>
      </c>
      <c r="M182">
        <f>_xlfn.XLOOKUP($E182,parent_events!$B$2:$B$56,parent_events!$J$2:$J$56,"NA")</f>
        <v>1</v>
      </c>
      <c r="N182" s="23" t="str">
        <f>_xlfn.XLOOKUP($E182,parent_events!$B$2:$B$56,parent_events!$K$2:$K$56,"NA")</f>
        <v>decimalMinute</v>
      </c>
      <c r="P182" t="str">
        <f>_xlfn.XLOOKUP($E182,parent_events!$B$2:$B$56,parent_events!$L$2:$L$56,"NA")</f>
        <v>Storvatnet_st1</v>
      </c>
      <c r="Q182" t="str">
        <f>_xlfn.XLOOKUP($P182,localities!$B$2:$B$49,localities!$C$2:$C$49,"NA")</f>
        <v>Storvatnet</v>
      </c>
      <c r="R182">
        <f>_xlfn.XLOOKUP($P182,localities!$B$2:$B$49,localities!$D$2:$D$49,"NA")</f>
        <v>1</v>
      </c>
      <c r="S182">
        <f>_xlfn.XLOOKUP($P182,localities!$B$2:$B$49,localities!$E$2:$E$49,"NA")</f>
        <v>63.621177600000003</v>
      </c>
      <c r="T182">
        <f>_xlfn.XLOOKUP($P182,localities!$B$2:$B$49,localities!$F$2:$F$49,"NA")</f>
        <v>10.2333759</v>
      </c>
      <c r="U182" t="str">
        <f>_xlfn.XLOOKUP($P182,localities!$B$2:$B$49,localities!$G$2:$G$49,"NA")</f>
        <v>WGS84</v>
      </c>
      <c r="V182">
        <f>_xlfn.XLOOKUP($P182,localities!$B$2:$B$49,localities!$H$2:$H$49,"NA")</f>
        <v>5</v>
      </c>
      <c r="W182" t="str">
        <f>_xlfn.XLOOKUP($P182,localities!$B$2:$B$49,localities!$I$2:$I$49,"NA")</f>
        <v>NOR</v>
      </c>
      <c r="X182" t="str">
        <f>_xlfn.XLOOKUP($P182,localities!$B$2:$B$49,localities!$J$2:$J$49,"NA")</f>
        <v>Norway</v>
      </c>
      <c r="Y182" t="str">
        <f>_xlfn.XLOOKUP($P182,localities!$B$2:$B$49,localities!$K$2:$K$49,"NA")</f>
        <v>Nord-Trøndelag</v>
      </c>
      <c r="Z182" t="str">
        <f>_xlfn.XLOOKUP($P182,localities!$B$2:$B$49,localities!$L$2:$L$49,"NA")</f>
        <v>Indre Fosen</v>
      </c>
    </row>
    <row r="183" spans="2:26" x14ac:dyDescent="0.3">
      <c r="B183" t="s">
        <v>245</v>
      </c>
      <c r="C183" s="23">
        <v>1</v>
      </c>
      <c r="E183" t="s">
        <v>213</v>
      </c>
      <c r="F183" s="19">
        <f>_xlfn.XLOOKUP($E183,parent_events!$B$2:$B$56,parent_events!$C$2:$C$56,"NA")</f>
        <v>45435</v>
      </c>
      <c r="G183">
        <f>_xlfn.XLOOKUP($E183,parent_events!$B$2:$B$56,parent_events!$D$2:$D$56,"NA")</f>
        <v>2024</v>
      </c>
      <c r="H183">
        <f>_xlfn.XLOOKUP($E183,parent_events!$B$2:$B$56,parent_events!$E$2:$E$56,"NA")</f>
        <v>5</v>
      </c>
      <c r="I183">
        <f>_xlfn.XLOOKUP($E183,parent_events!$B$2:$B$56,parent_events!$F$2:$F$56,"NA")</f>
        <v>23</v>
      </c>
      <c r="J183">
        <f>_xlfn.XLOOKUP($E183,parent_events!$B$2:$B$56,parent_events!$G$2:$G$56,"NA")</f>
        <v>2</v>
      </c>
      <c r="K183" t="str">
        <f>_xlfn.XLOOKUP($E183,parent_events!$B$2:$B$56,parent_events!$H$2:$H$56,"NA")</f>
        <v>Rot (1 min)</v>
      </c>
      <c r="L183" t="str">
        <f>_xlfn.XLOOKUP($E183,parent_events!$B$2:$B$56,parent_events!$I$2:$I$56,"NA")</f>
        <v>"3 replicates of 1 minute kick samples"</v>
      </c>
      <c r="M183">
        <f>_xlfn.XLOOKUP($E183,parent_events!$B$2:$B$56,parent_events!$J$2:$J$56,"NA")</f>
        <v>1</v>
      </c>
      <c r="N183" s="23" t="str">
        <f>_xlfn.XLOOKUP($E183,parent_events!$B$2:$B$56,parent_events!$K$2:$K$56,"NA")</f>
        <v>decimalMinute</v>
      </c>
      <c r="P183" t="str">
        <f>_xlfn.XLOOKUP($E183,parent_events!$B$2:$B$56,parent_events!$L$2:$L$56,"NA")</f>
        <v>Kilvatnet_st1</v>
      </c>
      <c r="Q183" t="str">
        <f>_xlfn.XLOOKUP($P183,localities!$B$2:$B$49,localities!$C$2:$C$49,"NA")</f>
        <v>Kilvatnet</v>
      </c>
      <c r="R183">
        <f>_xlfn.XLOOKUP($P183,localities!$B$2:$B$49,localities!$D$2:$D$49,"NA")</f>
        <v>1</v>
      </c>
      <c r="S183">
        <f>_xlfn.XLOOKUP($P183,localities!$B$2:$B$49,localities!$E$2:$E$49,"NA")</f>
        <v>63.3447909</v>
      </c>
      <c r="T183">
        <f>_xlfn.XLOOKUP($P183,localities!$B$2:$B$49,localities!$F$2:$F$49,"NA")</f>
        <v>10.5500174</v>
      </c>
      <c r="U183" t="str">
        <f>_xlfn.XLOOKUP($P183,localities!$B$2:$B$49,localities!$G$2:$G$49,"NA")</f>
        <v>WGS84</v>
      </c>
      <c r="V183">
        <f>_xlfn.XLOOKUP($P183,localities!$B$2:$B$49,localities!$H$2:$H$49,"NA")</f>
        <v>5</v>
      </c>
      <c r="W183" t="str">
        <f>_xlfn.XLOOKUP($P183,localities!$B$2:$B$49,localities!$I$2:$I$49,"NA")</f>
        <v>NOR</v>
      </c>
      <c r="X183" t="str">
        <f>_xlfn.XLOOKUP($P183,localities!$B$2:$B$49,localities!$J$2:$J$49,"NA")</f>
        <v>Norway</v>
      </c>
      <c r="Y183" t="str">
        <f>_xlfn.XLOOKUP($P183,localities!$B$2:$B$49,localities!$K$2:$K$49,"NA")</f>
        <v>Sør-Trøndelag</v>
      </c>
      <c r="Z183" t="str">
        <f>_xlfn.XLOOKUP($P183,localities!$B$2:$B$49,localities!$L$2:$L$49,"NA")</f>
        <v>Trondheim</v>
      </c>
    </row>
    <row r="184" spans="2:26" x14ac:dyDescent="0.3">
      <c r="B184" t="s">
        <v>271</v>
      </c>
      <c r="C184" s="23">
        <v>2</v>
      </c>
      <c r="E184" t="s">
        <v>213</v>
      </c>
      <c r="F184" s="19">
        <f>_xlfn.XLOOKUP($E184,parent_events!$B$2:$B$56,parent_events!$C$2:$C$56,"NA")</f>
        <v>45435</v>
      </c>
      <c r="G184">
        <f>_xlfn.XLOOKUP($E184,parent_events!$B$2:$B$56,parent_events!$D$2:$D$56,"NA")</f>
        <v>2024</v>
      </c>
      <c r="H184">
        <f>_xlfn.XLOOKUP($E184,parent_events!$B$2:$B$56,parent_events!$E$2:$E$56,"NA")</f>
        <v>5</v>
      </c>
      <c r="I184">
        <f>_xlfn.XLOOKUP($E184,parent_events!$B$2:$B$56,parent_events!$F$2:$F$56,"NA")</f>
        <v>23</v>
      </c>
      <c r="J184">
        <f>_xlfn.XLOOKUP($E184,parent_events!$B$2:$B$56,parent_events!$G$2:$G$56,"NA")</f>
        <v>2</v>
      </c>
      <c r="K184" t="str">
        <f>_xlfn.XLOOKUP($E184,parent_events!$B$2:$B$56,parent_events!$H$2:$H$56,"NA")</f>
        <v>Rot (1 min)</v>
      </c>
      <c r="L184" t="str">
        <f>_xlfn.XLOOKUP($E184,parent_events!$B$2:$B$56,parent_events!$I$2:$I$56,"NA")</f>
        <v>"3 replicates of 1 minute kick samples"</v>
      </c>
      <c r="M184">
        <f>_xlfn.XLOOKUP($E184,parent_events!$B$2:$B$56,parent_events!$J$2:$J$56,"NA")</f>
        <v>1</v>
      </c>
      <c r="N184" s="23" t="str">
        <f>_xlfn.XLOOKUP($E184,parent_events!$B$2:$B$56,parent_events!$K$2:$K$56,"NA")</f>
        <v>decimalMinute</v>
      </c>
      <c r="P184" t="str">
        <f>_xlfn.XLOOKUP($E184,parent_events!$B$2:$B$56,parent_events!$L$2:$L$56,"NA")</f>
        <v>Kilvatnet_st1</v>
      </c>
      <c r="Q184" t="str">
        <f>_xlfn.XLOOKUP($P184,localities!$B$2:$B$49,localities!$C$2:$C$49,"NA")</f>
        <v>Kilvatnet</v>
      </c>
      <c r="R184">
        <f>_xlfn.XLOOKUP($P184,localities!$B$2:$B$49,localities!$D$2:$D$49,"NA")</f>
        <v>1</v>
      </c>
      <c r="S184">
        <f>_xlfn.XLOOKUP($P184,localities!$B$2:$B$49,localities!$E$2:$E$49,"NA")</f>
        <v>63.3447909</v>
      </c>
      <c r="T184">
        <f>_xlfn.XLOOKUP($P184,localities!$B$2:$B$49,localities!$F$2:$F$49,"NA")</f>
        <v>10.5500174</v>
      </c>
      <c r="U184" t="str">
        <f>_xlfn.XLOOKUP($P184,localities!$B$2:$B$49,localities!$G$2:$G$49,"NA")</f>
        <v>WGS84</v>
      </c>
      <c r="V184">
        <f>_xlfn.XLOOKUP($P184,localities!$B$2:$B$49,localities!$H$2:$H$49,"NA")</f>
        <v>5</v>
      </c>
      <c r="W184" t="str">
        <f>_xlfn.XLOOKUP($P184,localities!$B$2:$B$49,localities!$I$2:$I$49,"NA")</f>
        <v>NOR</v>
      </c>
      <c r="X184" t="str">
        <f>_xlfn.XLOOKUP($P184,localities!$B$2:$B$49,localities!$J$2:$J$49,"NA")</f>
        <v>Norway</v>
      </c>
      <c r="Y184" t="str">
        <f>_xlfn.XLOOKUP($P184,localities!$B$2:$B$49,localities!$K$2:$K$49,"NA")</f>
        <v>Sør-Trøndelag</v>
      </c>
      <c r="Z184" t="str">
        <f>_xlfn.XLOOKUP($P184,localities!$B$2:$B$49,localities!$L$2:$L$49,"NA")</f>
        <v>Trondheim</v>
      </c>
    </row>
    <row r="185" spans="2:26" x14ac:dyDescent="0.3">
      <c r="B185" t="s">
        <v>272</v>
      </c>
      <c r="C185" s="23">
        <v>3</v>
      </c>
      <c r="E185" t="s">
        <v>213</v>
      </c>
      <c r="F185" s="19">
        <f>_xlfn.XLOOKUP($E185,parent_events!$B$2:$B$56,parent_events!$C$2:$C$56,"NA")</f>
        <v>45435</v>
      </c>
      <c r="G185">
        <f>_xlfn.XLOOKUP($E185,parent_events!$B$2:$B$56,parent_events!$D$2:$D$56,"NA")</f>
        <v>2024</v>
      </c>
      <c r="H185">
        <f>_xlfn.XLOOKUP($E185,parent_events!$B$2:$B$56,parent_events!$E$2:$E$56,"NA")</f>
        <v>5</v>
      </c>
      <c r="I185">
        <f>_xlfn.XLOOKUP($E185,parent_events!$B$2:$B$56,parent_events!$F$2:$F$56,"NA")</f>
        <v>23</v>
      </c>
      <c r="J185">
        <f>_xlfn.XLOOKUP($E185,parent_events!$B$2:$B$56,parent_events!$G$2:$G$56,"NA")</f>
        <v>2</v>
      </c>
      <c r="K185" t="str">
        <f>_xlfn.XLOOKUP($E185,parent_events!$B$2:$B$56,parent_events!$H$2:$H$56,"NA")</f>
        <v>Rot (1 min)</v>
      </c>
      <c r="L185" t="str">
        <f>_xlfn.XLOOKUP($E185,parent_events!$B$2:$B$56,parent_events!$I$2:$I$56,"NA")</f>
        <v>"3 replicates of 1 minute kick samples"</v>
      </c>
      <c r="M185">
        <f>_xlfn.XLOOKUP($E185,parent_events!$B$2:$B$56,parent_events!$J$2:$J$56,"NA")</f>
        <v>1</v>
      </c>
      <c r="N185" s="23" t="str">
        <f>_xlfn.XLOOKUP($E185,parent_events!$B$2:$B$56,parent_events!$K$2:$K$56,"NA")</f>
        <v>decimalMinute</v>
      </c>
      <c r="P185" t="str">
        <f>_xlfn.XLOOKUP($E185,parent_events!$B$2:$B$56,parent_events!$L$2:$L$56,"NA")</f>
        <v>Kilvatnet_st1</v>
      </c>
      <c r="Q185" t="str">
        <f>_xlfn.XLOOKUP($P185,localities!$B$2:$B$49,localities!$C$2:$C$49,"NA")</f>
        <v>Kilvatnet</v>
      </c>
      <c r="R185">
        <f>_xlfn.XLOOKUP($P185,localities!$B$2:$B$49,localities!$D$2:$D$49,"NA")</f>
        <v>1</v>
      </c>
      <c r="S185">
        <f>_xlfn.XLOOKUP($P185,localities!$B$2:$B$49,localities!$E$2:$E$49,"NA")</f>
        <v>63.3447909</v>
      </c>
      <c r="T185">
        <f>_xlfn.XLOOKUP($P185,localities!$B$2:$B$49,localities!$F$2:$F$49,"NA")</f>
        <v>10.5500174</v>
      </c>
      <c r="U185" t="str">
        <f>_xlfn.XLOOKUP($P185,localities!$B$2:$B$49,localities!$G$2:$G$49,"NA")</f>
        <v>WGS84</v>
      </c>
      <c r="V185">
        <f>_xlfn.XLOOKUP($P185,localities!$B$2:$B$49,localities!$H$2:$H$49,"NA")</f>
        <v>5</v>
      </c>
      <c r="W185" t="str">
        <f>_xlfn.XLOOKUP($P185,localities!$B$2:$B$49,localities!$I$2:$I$49,"NA")</f>
        <v>NOR</v>
      </c>
      <c r="X185" t="str">
        <f>_xlfn.XLOOKUP($P185,localities!$B$2:$B$49,localities!$J$2:$J$49,"NA")</f>
        <v>Norway</v>
      </c>
      <c r="Y185" t="str">
        <f>_xlfn.XLOOKUP($P185,localities!$B$2:$B$49,localities!$K$2:$K$49,"NA")</f>
        <v>Sør-Trøndelag</v>
      </c>
      <c r="Z185" t="str">
        <f>_xlfn.XLOOKUP($P185,localities!$B$2:$B$49,localities!$L$2:$L$49,"NA")</f>
        <v>Trondheim</v>
      </c>
    </row>
    <row r="186" spans="2:26" x14ac:dyDescent="0.3">
      <c r="B186" t="s">
        <v>256</v>
      </c>
      <c r="C186" s="23">
        <v>1</v>
      </c>
      <c r="E186" t="s">
        <v>214</v>
      </c>
      <c r="F186" s="19">
        <f>_xlfn.XLOOKUP($E186,parent_events!$B$2:$B$56,parent_events!$C$2:$C$56,"NA")</f>
        <v>45435</v>
      </c>
      <c r="G186">
        <f>_xlfn.XLOOKUP($E186,parent_events!$B$2:$B$56,parent_events!$D$2:$D$56,"NA")</f>
        <v>2024</v>
      </c>
      <c r="H186">
        <f>_xlfn.XLOOKUP($E186,parent_events!$B$2:$B$56,parent_events!$E$2:$E$56,"NA")</f>
        <v>5</v>
      </c>
      <c r="I186">
        <f>_xlfn.XLOOKUP($E186,parent_events!$B$2:$B$56,parent_events!$F$2:$F$56,"NA")</f>
        <v>23</v>
      </c>
      <c r="J186">
        <f>_xlfn.XLOOKUP($E186,parent_events!$B$2:$B$56,parent_events!$G$2:$G$56,"NA")</f>
        <v>2</v>
      </c>
      <c r="K186" t="str">
        <f>_xlfn.XLOOKUP($E186,parent_events!$B$2:$B$56,parent_events!$H$2:$H$56,"NA")</f>
        <v>Rot (1 min)</v>
      </c>
      <c r="L186" t="str">
        <f>_xlfn.XLOOKUP($E186,parent_events!$B$2:$B$56,parent_events!$I$2:$I$56,"NA")</f>
        <v>"3 replicates of 1 minute kick samples"</v>
      </c>
      <c r="M186">
        <f>_xlfn.XLOOKUP($E186,parent_events!$B$2:$B$56,parent_events!$J$2:$J$56,"NA")</f>
        <v>1</v>
      </c>
      <c r="N186" s="23" t="str">
        <f>_xlfn.XLOOKUP($E186,parent_events!$B$2:$B$56,parent_events!$K$2:$K$56,"NA")</f>
        <v>decimalMinute</v>
      </c>
      <c r="P186" t="str">
        <f>_xlfn.XLOOKUP($E186,parent_events!$B$2:$B$56,parent_events!$L$2:$L$56,"NA")</f>
        <v>Stor-Drakstsjoen_st1</v>
      </c>
      <c r="Q186" t="str">
        <f>_xlfn.XLOOKUP($P186,localities!$B$2:$B$49,localities!$C$2:$C$49,"NA")</f>
        <v>Stor-Drakstsjøen</v>
      </c>
      <c r="R186">
        <f>_xlfn.XLOOKUP($P186,localities!$B$2:$B$49,localities!$D$2:$D$49,"NA")</f>
        <v>1</v>
      </c>
      <c r="S186">
        <f>_xlfn.XLOOKUP($P186,localities!$B$2:$B$49,localities!$E$2:$E$49,"NA")</f>
        <v>63.286461099999997</v>
      </c>
      <c r="T186">
        <f>_xlfn.XLOOKUP($P186,localities!$B$2:$B$49,localities!$F$2:$F$49,"NA")</f>
        <v>10.802471300000001</v>
      </c>
      <c r="U186" t="str">
        <f>_xlfn.XLOOKUP($P186,localities!$B$2:$B$49,localities!$G$2:$G$49,"NA")</f>
        <v>WGS84</v>
      </c>
      <c r="V186">
        <f>_xlfn.XLOOKUP($P186,localities!$B$2:$B$49,localities!$H$2:$H$49,"NA")</f>
        <v>5</v>
      </c>
      <c r="W186" t="str">
        <f>_xlfn.XLOOKUP($P186,localities!$B$2:$B$49,localities!$I$2:$I$49,"NA")</f>
        <v>NOR</v>
      </c>
      <c r="X186" t="str">
        <f>_xlfn.XLOOKUP($P186,localities!$B$2:$B$49,localities!$J$2:$J$49,"NA")</f>
        <v>Norway</v>
      </c>
      <c r="Y186" t="str">
        <f>_xlfn.XLOOKUP($P186,localities!$B$2:$B$49,localities!$K$2:$K$49,"NA")</f>
        <v>Sør-Trøndelag</v>
      </c>
      <c r="Z186" t="str">
        <f>_xlfn.XLOOKUP($P186,localities!$B$2:$B$49,localities!$L$2:$L$49,"NA")</f>
        <v>Selbu</v>
      </c>
    </row>
    <row r="187" spans="2:26" x14ac:dyDescent="0.3">
      <c r="B187" t="s">
        <v>273</v>
      </c>
      <c r="C187" s="23">
        <v>2</v>
      </c>
      <c r="E187" t="s">
        <v>214</v>
      </c>
      <c r="F187" s="19">
        <f>_xlfn.XLOOKUP($E187,parent_events!$B$2:$B$56,parent_events!$C$2:$C$56,"NA")</f>
        <v>45435</v>
      </c>
      <c r="G187">
        <f>_xlfn.XLOOKUP($E187,parent_events!$B$2:$B$56,parent_events!$D$2:$D$56,"NA")</f>
        <v>2024</v>
      </c>
      <c r="H187">
        <f>_xlfn.XLOOKUP($E187,parent_events!$B$2:$B$56,parent_events!$E$2:$E$56,"NA")</f>
        <v>5</v>
      </c>
      <c r="I187">
        <f>_xlfn.XLOOKUP($E187,parent_events!$B$2:$B$56,parent_events!$F$2:$F$56,"NA")</f>
        <v>23</v>
      </c>
      <c r="J187">
        <f>_xlfn.XLOOKUP($E187,parent_events!$B$2:$B$56,parent_events!$G$2:$G$56,"NA")</f>
        <v>2</v>
      </c>
      <c r="K187" t="str">
        <f>_xlfn.XLOOKUP($E187,parent_events!$B$2:$B$56,parent_events!$H$2:$H$56,"NA")</f>
        <v>Rot (1 min)</v>
      </c>
      <c r="L187" t="str">
        <f>_xlfn.XLOOKUP($E187,parent_events!$B$2:$B$56,parent_events!$I$2:$I$56,"NA")</f>
        <v>"3 replicates of 1 minute kick samples"</v>
      </c>
      <c r="M187">
        <f>_xlfn.XLOOKUP($E187,parent_events!$B$2:$B$56,parent_events!$J$2:$J$56,"NA")</f>
        <v>1</v>
      </c>
      <c r="N187" s="23" t="str">
        <f>_xlfn.XLOOKUP($E187,parent_events!$B$2:$B$56,parent_events!$K$2:$K$56,"NA")</f>
        <v>decimalMinute</v>
      </c>
      <c r="P187" t="str">
        <f>_xlfn.XLOOKUP($E187,parent_events!$B$2:$B$56,parent_events!$L$2:$L$56,"NA")</f>
        <v>Stor-Drakstsjoen_st1</v>
      </c>
      <c r="Q187" t="str">
        <f>_xlfn.XLOOKUP($P187,localities!$B$2:$B$49,localities!$C$2:$C$49,"NA")</f>
        <v>Stor-Drakstsjøen</v>
      </c>
      <c r="R187">
        <f>_xlfn.XLOOKUP($P187,localities!$B$2:$B$49,localities!$D$2:$D$49,"NA")</f>
        <v>1</v>
      </c>
      <c r="S187">
        <f>_xlfn.XLOOKUP($P187,localities!$B$2:$B$49,localities!$E$2:$E$49,"NA")</f>
        <v>63.286461099999997</v>
      </c>
      <c r="T187">
        <f>_xlfn.XLOOKUP($P187,localities!$B$2:$B$49,localities!$F$2:$F$49,"NA")</f>
        <v>10.802471300000001</v>
      </c>
      <c r="U187" t="str">
        <f>_xlfn.XLOOKUP($P187,localities!$B$2:$B$49,localities!$G$2:$G$49,"NA")</f>
        <v>WGS84</v>
      </c>
      <c r="V187">
        <f>_xlfn.XLOOKUP($P187,localities!$B$2:$B$49,localities!$H$2:$H$49,"NA")</f>
        <v>5</v>
      </c>
      <c r="W187" t="str">
        <f>_xlfn.XLOOKUP($P187,localities!$B$2:$B$49,localities!$I$2:$I$49,"NA")</f>
        <v>NOR</v>
      </c>
      <c r="X187" t="str">
        <f>_xlfn.XLOOKUP($P187,localities!$B$2:$B$49,localities!$J$2:$J$49,"NA")</f>
        <v>Norway</v>
      </c>
      <c r="Y187" t="str">
        <f>_xlfn.XLOOKUP($P187,localities!$B$2:$B$49,localities!$K$2:$K$49,"NA")</f>
        <v>Sør-Trøndelag</v>
      </c>
      <c r="Z187" t="str">
        <f>_xlfn.XLOOKUP($P187,localities!$B$2:$B$49,localities!$L$2:$L$49,"NA")</f>
        <v>Selbu</v>
      </c>
    </row>
    <row r="188" spans="2:26" x14ac:dyDescent="0.3">
      <c r="B188" t="s">
        <v>274</v>
      </c>
      <c r="C188" s="23">
        <v>3</v>
      </c>
      <c r="E188" t="s">
        <v>214</v>
      </c>
      <c r="F188" s="19">
        <f>_xlfn.XLOOKUP($E188,parent_events!$B$2:$B$56,parent_events!$C$2:$C$56,"NA")</f>
        <v>45435</v>
      </c>
      <c r="G188">
        <f>_xlfn.XLOOKUP($E188,parent_events!$B$2:$B$56,parent_events!$D$2:$D$56,"NA")</f>
        <v>2024</v>
      </c>
      <c r="H188">
        <f>_xlfn.XLOOKUP($E188,parent_events!$B$2:$B$56,parent_events!$E$2:$E$56,"NA")</f>
        <v>5</v>
      </c>
      <c r="I188">
        <f>_xlfn.XLOOKUP($E188,parent_events!$B$2:$B$56,parent_events!$F$2:$F$56,"NA")</f>
        <v>23</v>
      </c>
      <c r="J188">
        <f>_xlfn.XLOOKUP($E188,parent_events!$B$2:$B$56,parent_events!$G$2:$G$56,"NA")</f>
        <v>2</v>
      </c>
      <c r="K188" t="str">
        <f>_xlfn.XLOOKUP($E188,parent_events!$B$2:$B$56,parent_events!$H$2:$H$56,"NA")</f>
        <v>Rot (1 min)</v>
      </c>
      <c r="L188" t="str">
        <f>_xlfn.XLOOKUP($E188,parent_events!$B$2:$B$56,parent_events!$I$2:$I$56,"NA")</f>
        <v>"3 replicates of 1 minute kick samples"</v>
      </c>
      <c r="M188">
        <f>_xlfn.XLOOKUP($E188,parent_events!$B$2:$B$56,parent_events!$J$2:$J$56,"NA")</f>
        <v>1</v>
      </c>
      <c r="N188" s="23" t="str">
        <f>_xlfn.XLOOKUP($E188,parent_events!$B$2:$B$56,parent_events!$K$2:$K$56,"NA")</f>
        <v>decimalMinute</v>
      </c>
      <c r="P188" t="str">
        <f>_xlfn.XLOOKUP($E188,parent_events!$B$2:$B$56,parent_events!$L$2:$L$56,"NA")</f>
        <v>Stor-Drakstsjoen_st1</v>
      </c>
      <c r="Q188" t="str">
        <f>_xlfn.XLOOKUP($P188,localities!$B$2:$B$49,localities!$C$2:$C$49,"NA")</f>
        <v>Stor-Drakstsjøen</v>
      </c>
      <c r="R188">
        <f>_xlfn.XLOOKUP($P188,localities!$B$2:$B$49,localities!$D$2:$D$49,"NA")</f>
        <v>1</v>
      </c>
      <c r="S188">
        <f>_xlfn.XLOOKUP($P188,localities!$B$2:$B$49,localities!$E$2:$E$49,"NA")</f>
        <v>63.286461099999997</v>
      </c>
      <c r="T188">
        <f>_xlfn.XLOOKUP($P188,localities!$B$2:$B$49,localities!$F$2:$F$49,"NA")</f>
        <v>10.802471300000001</v>
      </c>
      <c r="U188" t="str">
        <f>_xlfn.XLOOKUP($P188,localities!$B$2:$B$49,localities!$G$2:$G$49,"NA")</f>
        <v>WGS84</v>
      </c>
      <c r="V188">
        <f>_xlfn.XLOOKUP($P188,localities!$B$2:$B$49,localities!$H$2:$H$49,"NA")</f>
        <v>5</v>
      </c>
      <c r="W188" t="str">
        <f>_xlfn.XLOOKUP($P188,localities!$B$2:$B$49,localities!$I$2:$I$49,"NA")</f>
        <v>NOR</v>
      </c>
      <c r="X188" t="str">
        <f>_xlfn.XLOOKUP($P188,localities!$B$2:$B$49,localities!$J$2:$J$49,"NA")</f>
        <v>Norway</v>
      </c>
      <c r="Y188" t="str">
        <f>_xlfn.XLOOKUP($P188,localities!$B$2:$B$49,localities!$K$2:$K$49,"NA")</f>
        <v>Sør-Trøndelag</v>
      </c>
      <c r="Z188" t="str">
        <f>_xlfn.XLOOKUP($P188,localities!$B$2:$B$49,localities!$L$2:$L$49,"NA")</f>
        <v>Selbu</v>
      </c>
    </row>
    <row r="189" spans="2:26" x14ac:dyDescent="0.3">
      <c r="B189" t="s">
        <v>257</v>
      </c>
      <c r="C189" s="23">
        <v>1</v>
      </c>
      <c r="E189" t="s">
        <v>215</v>
      </c>
      <c r="F189" s="19">
        <f>_xlfn.XLOOKUP($E189,parent_events!$B$2:$B$56,parent_events!$C$2:$C$56,"NA")</f>
        <v>45446</v>
      </c>
      <c r="G189">
        <f>_xlfn.XLOOKUP($E189,parent_events!$B$2:$B$56,parent_events!$D$2:$D$56,"NA")</f>
        <v>2024</v>
      </c>
      <c r="H189">
        <f>_xlfn.XLOOKUP($E189,parent_events!$B$2:$B$56,parent_events!$E$2:$E$56,"NA")</f>
        <v>6</v>
      </c>
      <c r="I189">
        <f>_xlfn.XLOOKUP($E189,parent_events!$B$2:$B$56,parent_events!$F$2:$F$56,"NA")</f>
        <v>3</v>
      </c>
      <c r="J189">
        <f>_xlfn.XLOOKUP($E189,parent_events!$B$2:$B$56,parent_events!$G$2:$G$56,"NA")</f>
        <v>3</v>
      </c>
      <c r="K189" t="str">
        <f>_xlfn.XLOOKUP($E189,parent_events!$B$2:$B$56,parent_events!$H$2:$H$56,"NA")</f>
        <v>Rot (1 min)</v>
      </c>
      <c r="L189" t="str">
        <f>_xlfn.XLOOKUP($E189,parent_events!$B$2:$B$56,parent_events!$I$2:$I$56,"NA")</f>
        <v>"3 replicates of 1 minute kick samples"</v>
      </c>
      <c r="M189">
        <f>_xlfn.XLOOKUP($E189,parent_events!$B$2:$B$56,parent_events!$J$2:$J$56,"NA")</f>
        <v>1</v>
      </c>
      <c r="N189" s="23" t="str">
        <f>_xlfn.XLOOKUP($E189,parent_events!$B$2:$B$56,parent_events!$K$2:$K$56,"NA")</f>
        <v>decimalMinute</v>
      </c>
      <c r="P189" t="str">
        <f>_xlfn.XLOOKUP($E189,parent_events!$B$2:$B$56,parent_events!$L$2:$L$56,"NA")</f>
        <v>Roksetvatnet_st1</v>
      </c>
      <c r="Q189" t="str">
        <f>_xlfn.XLOOKUP($P189,localities!$B$2:$B$49,localities!$C$2:$C$49,"NA")</f>
        <v>Roksetvatnet</v>
      </c>
      <c r="R189">
        <f>_xlfn.XLOOKUP($P189,localities!$B$2:$B$49,localities!$D$2:$D$49,"NA")</f>
        <v>1</v>
      </c>
      <c r="S189">
        <f>_xlfn.XLOOKUP($P189,localities!$B$2:$B$49,localities!$E$2:$E$49,"NA")</f>
        <v>63.654024200000002</v>
      </c>
      <c r="T189">
        <f>_xlfn.XLOOKUP($P189,localities!$B$2:$B$49,localities!$F$2:$F$49,"NA")</f>
        <v>10.066431400000001</v>
      </c>
      <c r="U189" t="str">
        <f>_xlfn.XLOOKUP($P189,localities!$B$2:$B$49,localities!$G$2:$G$49,"NA")</f>
        <v>WGS84</v>
      </c>
      <c r="V189">
        <f>_xlfn.XLOOKUP($P189,localities!$B$2:$B$49,localities!$H$2:$H$49,"NA")</f>
        <v>5</v>
      </c>
      <c r="W189" t="str">
        <f>_xlfn.XLOOKUP($P189,localities!$B$2:$B$49,localities!$I$2:$I$49,"NA")</f>
        <v>NOR</v>
      </c>
      <c r="X189" t="str">
        <f>_xlfn.XLOOKUP($P189,localities!$B$2:$B$49,localities!$J$2:$J$49,"NA")</f>
        <v>Norway</v>
      </c>
      <c r="Y189" t="str">
        <f>_xlfn.XLOOKUP($P189,localities!$B$2:$B$49,localities!$K$2:$K$49,"NA")</f>
        <v>Sør-Trøndelag</v>
      </c>
      <c r="Z189" t="str">
        <f>_xlfn.XLOOKUP($P189,localities!$B$2:$B$49,localities!$L$2:$L$49,"NA")</f>
        <v>Indre Fosen</v>
      </c>
    </row>
    <row r="190" spans="2:26" x14ac:dyDescent="0.3">
      <c r="B190" t="s">
        <v>275</v>
      </c>
      <c r="C190" s="23">
        <v>2</v>
      </c>
      <c r="E190" t="s">
        <v>215</v>
      </c>
      <c r="F190" s="19">
        <f>_xlfn.XLOOKUP($E190,parent_events!$B$2:$B$56,parent_events!$C$2:$C$56,"NA")</f>
        <v>45446</v>
      </c>
      <c r="G190">
        <f>_xlfn.XLOOKUP($E190,parent_events!$B$2:$B$56,parent_events!$D$2:$D$56,"NA")</f>
        <v>2024</v>
      </c>
      <c r="H190">
        <f>_xlfn.XLOOKUP($E190,parent_events!$B$2:$B$56,parent_events!$E$2:$E$56,"NA")</f>
        <v>6</v>
      </c>
      <c r="I190">
        <f>_xlfn.XLOOKUP($E190,parent_events!$B$2:$B$56,parent_events!$F$2:$F$56,"NA")</f>
        <v>3</v>
      </c>
      <c r="J190">
        <f>_xlfn.XLOOKUP($E190,parent_events!$B$2:$B$56,parent_events!$G$2:$G$56,"NA")</f>
        <v>3</v>
      </c>
      <c r="K190" t="str">
        <f>_xlfn.XLOOKUP($E190,parent_events!$B$2:$B$56,parent_events!$H$2:$H$56,"NA")</f>
        <v>Rot (1 min)</v>
      </c>
      <c r="L190" t="str">
        <f>_xlfn.XLOOKUP($E190,parent_events!$B$2:$B$56,parent_events!$I$2:$I$56,"NA")</f>
        <v>"3 replicates of 1 minute kick samples"</v>
      </c>
      <c r="M190">
        <f>_xlfn.XLOOKUP($E190,parent_events!$B$2:$B$56,parent_events!$J$2:$J$56,"NA")</f>
        <v>1</v>
      </c>
      <c r="N190" s="23" t="str">
        <f>_xlfn.XLOOKUP($E190,parent_events!$B$2:$B$56,parent_events!$K$2:$K$56,"NA")</f>
        <v>decimalMinute</v>
      </c>
      <c r="P190" t="str">
        <f>_xlfn.XLOOKUP($E190,parent_events!$B$2:$B$56,parent_events!$L$2:$L$56,"NA")</f>
        <v>Roksetvatnet_st1</v>
      </c>
      <c r="Q190" t="str">
        <f>_xlfn.XLOOKUP($P190,localities!$B$2:$B$49,localities!$C$2:$C$49,"NA")</f>
        <v>Roksetvatnet</v>
      </c>
      <c r="R190">
        <f>_xlfn.XLOOKUP($P190,localities!$B$2:$B$49,localities!$D$2:$D$49,"NA")</f>
        <v>1</v>
      </c>
      <c r="S190">
        <f>_xlfn.XLOOKUP($P190,localities!$B$2:$B$49,localities!$E$2:$E$49,"NA")</f>
        <v>63.654024200000002</v>
      </c>
      <c r="T190">
        <f>_xlfn.XLOOKUP($P190,localities!$B$2:$B$49,localities!$F$2:$F$49,"NA")</f>
        <v>10.066431400000001</v>
      </c>
      <c r="U190" t="str">
        <f>_xlfn.XLOOKUP($P190,localities!$B$2:$B$49,localities!$G$2:$G$49,"NA")</f>
        <v>WGS84</v>
      </c>
      <c r="V190">
        <f>_xlfn.XLOOKUP($P190,localities!$B$2:$B$49,localities!$H$2:$H$49,"NA")</f>
        <v>5</v>
      </c>
      <c r="W190" t="str">
        <f>_xlfn.XLOOKUP($P190,localities!$B$2:$B$49,localities!$I$2:$I$49,"NA")</f>
        <v>NOR</v>
      </c>
      <c r="X190" t="str">
        <f>_xlfn.XLOOKUP($P190,localities!$B$2:$B$49,localities!$J$2:$J$49,"NA")</f>
        <v>Norway</v>
      </c>
      <c r="Y190" t="str">
        <f>_xlfn.XLOOKUP($P190,localities!$B$2:$B$49,localities!$K$2:$K$49,"NA")</f>
        <v>Sør-Trøndelag</v>
      </c>
      <c r="Z190" t="str">
        <f>_xlfn.XLOOKUP($P190,localities!$B$2:$B$49,localities!$L$2:$L$49,"NA")</f>
        <v>Indre Fosen</v>
      </c>
    </row>
    <row r="191" spans="2:26" x14ac:dyDescent="0.3">
      <c r="B191" t="s">
        <v>276</v>
      </c>
      <c r="C191" s="23">
        <v>3</v>
      </c>
      <c r="E191" t="s">
        <v>215</v>
      </c>
      <c r="F191" s="19">
        <f>_xlfn.XLOOKUP($E191,parent_events!$B$2:$B$56,parent_events!$C$2:$C$56,"NA")</f>
        <v>45446</v>
      </c>
      <c r="G191">
        <f>_xlfn.XLOOKUP($E191,parent_events!$B$2:$B$56,parent_events!$D$2:$D$56,"NA")</f>
        <v>2024</v>
      </c>
      <c r="H191">
        <f>_xlfn.XLOOKUP($E191,parent_events!$B$2:$B$56,parent_events!$E$2:$E$56,"NA")</f>
        <v>6</v>
      </c>
      <c r="I191">
        <f>_xlfn.XLOOKUP($E191,parent_events!$B$2:$B$56,parent_events!$F$2:$F$56,"NA")</f>
        <v>3</v>
      </c>
      <c r="J191">
        <f>_xlfn.XLOOKUP($E191,parent_events!$B$2:$B$56,parent_events!$G$2:$G$56,"NA")</f>
        <v>3</v>
      </c>
      <c r="K191" t="str">
        <f>_xlfn.XLOOKUP($E191,parent_events!$B$2:$B$56,parent_events!$H$2:$H$56,"NA")</f>
        <v>Rot (1 min)</v>
      </c>
      <c r="L191" t="str">
        <f>_xlfn.XLOOKUP($E191,parent_events!$B$2:$B$56,parent_events!$I$2:$I$56,"NA")</f>
        <v>"3 replicates of 1 minute kick samples"</v>
      </c>
      <c r="M191">
        <f>_xlfn.XLOOKUP($E191,parent_events!$B$2:$B$56,parent_events!$J$2:$J$56,"NA")</f>
        <v>1</v>
      </c>
      <c r="N191" s="23" t="str">
        <f>_xlfn.XLOOKUP($E191,parent_events!$B$2:$B$56,parent_events!$K$2:$K$56,"NA")</f>
        <v>decimalMinute</v>
      </c>
      <c r="P191" t="str">
        <f>_xlfn.XLOOKUP($E191,parent_events!$B$2:$B$56,parent_events!$L$2:$L$56,"NA")</f>
        <v>Roksetvatnet_st1</v>
      </c>
      <c r="Q191" t="str">
        <f>_xlfn.XLOOKUP($P191,localities!$B$2:$B$49,localities!$C$2:$C$49,"NA")</f>
        <v>Roksetvatnet</v>
      </c>
      <c r="R191">
        <f>_xlfn.XLOOKUP($P191,localities!$B$2:$B$49,localities!$D$2:$D$49,"NA")</f>
        <v>1</v>
      </c>
      <c r="S191">
        <f>_xlfn.XLOOKUP($P191,localities!$B$2:$B$49,localities!$E$2:$E$49,"NA")</f>
        <v>63.654024200000002</v>
      </c>
      <c r="T191">
        <f>_xlfn.XLOOKUP($P191,localities!$B$2:$B$49,localities!$F$2:$F$49,"NA")</f>
        <v>10.066431400000001</v>
      </c>
      <c r="U191" t="str">
        <f>_xlfn.XLOOKUP($P191,localities!$B$2:$B$49,localities!$G$2:$G$49,"NA")</f>
        <v>WGS84</v>
      </c>
      <c r="V191">
        <f>_xlfn.XLOOKUP($P191,localities!$B$2:$B$49,localities!$H$2:$H$49,"NA")</f>
        <v>5</v>
      </c>
      <c r="W191" t="str">
        <f>_xlfn.XLOOKUP($P191,localities!$B$2:$B$49,localities!$I$2:$I$49,"NA")</f>
        <v>NOR</v>
      </c>
      <c r="X191" t="str">
        <f>_xlfn.XLOOKUP($P191,localities!$B$2:$B$49,localities!$J$2:$J$49,"NA")</f>
        <v>Norway</v>
      </c>
      <c r="Y191" t="str">
        <f>_xlfn.XLOOKUP($P191,localities!$B$2:$B$49,localities!$K$2:$K$49,"NA")</f>
        <v>Sør-Trøndelag</v>
      </c>
      <c r="Z191" t="str">
        <f>_xlfn.XLOOKUP($P191,localities!$B$2:$B$49,localities!$L$2:$L$49,"NA")</f>
        <v>Indre Fosen</v>
      </c>
    </row>
    <row r="192" spans="2:26" x14ac:dyDescent="0.3">
      <c r="B192" t="s">
        <v>258</v>
      </c>
      <c r="C192" s="23">
        <v>1</v>
      </c>
      <c r="E192" t="s">
        <v>216</v>
      </c>
      <c r="F192" s="19">
        <f>_xlfn.XLOOKUP($E192,parent_events!$B$2:$B$56,parent_events!$C$2:$C$56,"NA")</f>
        <v>45446</v>
      </c>
      <c r="G192">
        <f>_xlfn.XLOOKUP($E192,parent_events!$B$2:$B$56,parent_events!$D$2:$D$56,"NA")</f>
        <v>2024</v>
      </c>
      <c r="H192">
        <f>_xlfn.XLOOKUP($E192,parent_events!$B$2:$B$56,parent_events!$E$2:$E$56,"NA")</f>
        <v>6</v>
      </c>
      <c r="I192">
        <f>_xlfn.XLOOKUP($E192,parent_events!$B$2:$B$56,parent_events!$F$2:$F$56,"NA")</f>
        <v>3</v>
      </c>
      <c r="J192">
        <f>_xlfn.XLOOKUP($E192,parent_events!$B$2:$B$56,parent_events!$G$2:$G$56,"NA")</f>
        <v>3</v>
      </c>
      <c r="K192" t="str">
        <f>_xlfn.XLOOKUP($E192,parent_events!$B$2:$B$56,parent_events!$H$2:$H$56,"NA")</f>
        <v>Rot (1 min)</v>
      </c>
      <c r="L192" t="str">
        <f>_xlfn.XLOOKUP($E192,parent_events!$B$2:$B$56,parent_events!$I$2:$I$56,"NA")</f>
        <v>"3 replicates of 1 minute kick samples"</v>
      </c>
      <c r="M192">
        <f>_xlfn.XLOOKUP($E192,parent_events!$B$2:$B$56,parent_events!$J$2:$J$56,"NA")</f>
        <v>1</v>
      </c>
      <c r="N192" s="23" t="str">
        <f>_xlfn.XLOOKUP($E192,parent_events!$B$2:$B$56,parent_events!$K$2:$K$56,"NA")</f>
        <v>decimalMinute</v>
      </c>
      <c r="P192" t="str">
        <f>_xlfn.XLOOKUP($E192,parent_events!$B$2:$B$56,parent_events!$L$2:$L$56,"NA")</f>
        <v>Barsetvatnet_st1</v>
      </c>
      <c r="Q192" t="str">
        <f>_xlfn.XLOOKUP($P192,localities!$B$2:$B$49,localities!$C$2:$C$49,"NA")</f>
        <v>Barsetvatnet</v>
      </c>
      <c r="R192">
        <f>_xlfn.XLOOKUP($P192,localities!$B$2:$B$49,localities!$D$2:$D$49,"NA")</f>
        <v>1</v>
      </c>
      <c r="S192">
        <f>_xlfn.XLOOKUP($P192,localities!$B$2:$B$49,localities!$E$2:$E$49,"NA")</f>
        <v>63.797785500000003</v>
      </c>
      <c r="T192">
        <f>_xlfn.XLOOKUP($P192,localities!$B$2:$B$49,localities!$F$2:$F$49,"NA")</f>
        <v>9.8281852999999995</v>
      </c>
      <c r="U192" t="str">
        <f>_xlfn.XLOOKUP($P192,localities!$B$2:$B$49,localities!$G$2:$G$49,"NA")</f>
        <v>WGS84</v>
      </c>
      <c r="V192">
        <f>_xlfn.XLOOKUP($P192,localities!$B$2:$B$49,localities!$H$2:$H$49,"NA")</f>
        <v>5</v>
      </c>
      <c r="W192" t="str">
        <f>_xlfn.XLOOKUP($P192,localities!$B$2:$B$49,localities!$I$2:$I$49,"NA")</f>
        <v>NOR</v>
      </c>
      <c r="X192" t="str">
        <f>_xlfn.XLOOKUP($P192,localities!$B$2:$B$49,localities!$J$2:$J$49,"NA")</f>
        <v>Norway</v>
      </c>
      <c r="Y192" t="str">
        <f>_xlfn.XLOOKUP($P192,localities!$B$2:$B$49,localities!$K$2:$K$49,"NA")</f>
        <v>Sør-Trøndelag</v>
      </c>
      <c r="Z192" t="str">
        <f>_xlfn.XLOOKUP($P192,localities!$B$2:$B$49,localities!$L$2:$L$49,"NA")</f>
        <v>Ørland</v>
      </c>
    </row>
    <row r="193" spans="2:26" x14ac:dyDescent="0.3">
      <c r="B193" t="s">
        <v>277</v>
      </c>
      <c r="C193" s="23">
        <v>2</v>
      </c>
      <c r="E193" t="s">
        <v>216</v>
      </c>
      <c r="F193" s="19">
        <f>_xlfn.XLOOKUP($E193,parent_events!$B$2:$B$56,parent_events!$C$2:$C$56,"NA")</f>
        <v>45446</v>
      </c>
      <c r="G193">
        <f>_xlfn.XLOOKUP($E193,parent_events!$B$2:$B$56,parent_events!$D$2:$D$56,"NA")</f>
        <v>2024</v>
      </c>
      <c r="H193">
        <f>_xlfn.XLOOKUP($E193,parent_events!$B$2:$B$56,parent_events!$E$2:$E$56,"NA")</f>
        <v>6</v>
      </c>
      <c r="I193">
        <f>_xlfn.XLOOKUP($E193,parent_events!$B$2:$B$56,parent_events!$F$2:$F$56,"NA")</f>
        <v>3</v>
      </c>
      <c r="J193">
        <f>_xlfn.XLOOKUP($E193,parent_events!$B$2:$B$56,parent_events!$G$2:$G$56,"NA")</f>
        <v>3</v>
      </c>
      <c r="K193" t="str">
        <f>_xlfn.XLOOKUP($E193,parent_events!$B$2:$B$56,parent_events!$H$2:$H$56,"NA")</f>
        <v>Rot (1 min)</v>
      </c>
      <c r="L193" t="str">
        <f>_xlfn.XLOOKUP($E193,parent_events!$B$2:$B$56,parent_events!$I$2:$I$56,"NA")</f>
        <v>"3 replicates of 1 minute kick samples"</v>
      </c>
      <c r="M193">
        <f>_xlfn.XLOOKUP($E193,parent_events!$B$2:$B$56,parent_events!$J$2:$J$56,"NA")</f>
        <v>1</v>
      </c>
      <c r="N193" s="23" t="str">
        <f>_xlfn.XLOOKUP($E193,parent_events!$B$2:$B$56,parent_events!$K$2:$K$56,"NA")</f>
        <v>decimalMinute</v>
      </c>
      <c r="P193" t="str">
        <f>_xlfn.XLOOKUP($E193,parent_events!$B$2:$B$56,parent_events!$L$2:$L$56,"NA")</f>
        <v>Barsetvatnet_st1</v>
      </c>
      <c r="Q193" t="str">
        <f>_xlfn.XLOOKUP($P193,localities!$B$2:$B$49,localities!$C$2:$C$49,"NA")</f>
        <v>Barsetvatnet</v>
      </c>
      <c r="R193">
        <f>_xlfn.XLOOKUP($P193,localities!$B$2:$B$49,localities!$D$2:$D$49,"NA")</f>
        <v>1</v>
      </c>
      <c r="S193">
        <f>_xlfn.XLOOKUP($P193,localities!$B$2:$B$49,localities!$E$2:$E$49,"NA")</f>
        <v>63.797785500000003</v>
      </c>
      <c r="T193">
        <f>_xlfn.XLOOKUP($P193,localities!$B$2:$B$49,localities!$F$2:$F$49,"NA")</f>
        <v>9.8281852999999995</v>
      </c>
      <c r="U193" t="str">
        <f>_xlfn.XLOOKUP($P193,localities!$B$2:$B$49,localities!$G$2:$G$49,"NA")</f>
        <v>WGS84</v>
      </c>
      <c r="V193">
        <f>_xlfn.XLOOKUP($P193,localities!$B$2:$B$49,localities!$H$2:$H$49,"NA")</f>
        <v>5</v>
      </c>
      <c r="W193" t="str">
        <f>_xlfn.XLOOKUP($P193,localities!$B$2:$B$49,localities!$I$2:$I$49,"NA")</f>
        <v>NOR</v>
      </c>
      <c r="X193" t="str">
        <f>_xlfn.XLOOKUP($P193,localities!$B$2:$B$49,localities!$J$2:$J$49,"NA")</f>
        <v>Norway</v>
      </c>
      <c r="Y193" t="str">
        <f>_xlfn.XLOOKUP($P193,localities!$B$2:$B$49,localities!$K$2:$K$49,"NA")</f>
        <v>Sør-Trøndelag</v>
      </c>
      <c r="Z193" t="str">
        <f>_xlfn.XLOOKUP($P193,localities!$B$2:$B$49,localities!$L$2:$L$49,"NA")</f>
        <v>Ørland</v>
      </c>
    </row>
    <row r="194" spans="2:26" x14ac:dyDescent="0.3">
      <c r="B194" t="s">
        <v>278</v>
      </c>
      <c r="C194" s="23">
        <v>3</v>
      </c>
      <c r="E194" t="s">
        <v>216</v>
      </c>
      <c r="F194" s="19">
        <f>_xlfn.XLOOKUP($E194,parent_events!$B$2:$B$56,parent_events!$C$2:$C$56,"NA")</f>
        <v>45446</v>
      </c>
      <c r="G194">
        <f>_xlfn.XLOOKUP($E194,parent_events!$B$2:$B$56,parent_events!$D$2:$D$56,"NA")</f>
        <v>2024</v>
      </c>
      <c r="H194">
        <f>_xlfn.XLOOKUP($E194,parent_events!$B$2:$B$56,parent_events!$E$2:$E$56,"NA")</f>
        <v>6</v>
      </c>
      <c r="I194">
        <f>_xlfn.XLOOKUP($E194,parent_events!$B$2:$B$56,parent_events!$F$2:$F$56,"NA")</f>
        <v>3</v>
      </c>
      <c r="J194">
        <f>_xlfn.XLOOKUP($E194,parent_events!$B$2:$B$56,parent_events!$G$2:$G$56,"NA")</f>
        <v>3</v>
      </c>
      <c r="K194" t="str">
        <f>_xlfn.XLOOKUP($E194,parent_events!$B$2:$B$56,parent_events!$H$2:$H$56,"NA")</f>
        <v>Rot (1 min)</v>
      </c>
      <c r="L194" t="str">
        <f>_xlfn.XLOOKUP($E194,parent_events!$B$2:$B$56,parent_events!$I$2:$I$56,"NA")</f>
        <v>"3 replicates of 1 minute kick samples"</v>
      </c>
      <c r="M194">
        <f>_xlfn.XLOOKUP($E194,parent_events!$B$2:$B$56,parent_events!$J$2:$J$56,"NA")</f>
        <v>1</v>
      </c>
      <c r="N194" s="23" t="str">
        <f>_xlfn.XLOOKUP($E194,parent_events!$B$2:$B$56,parent_events!$K$2:$K$56,"NA")</f>
        <v>decimalMinute</v>
      </c>
      <c r="P194" t="str">
        <f>_xlfn.XLOOKUP($E194,parent_events!$B$2:$B$56,parent_events!$L$2:$L$56,"NA")</f>
        <v>Barsetvatnet_st1</v>
      </c>
      <c r="Q194" t="str">
        <f>_xlfn.XLOOKUP($P194,localities!$B$2:$B$49,localities!$C$2:$C$49,"NA")</f>
        <v>Barsetvatnet</v>
      </c>
      <c r="R194">
        <f>_xlfn.XLOOKUP($P194,localities!$B$2:$B$49,localities!$D$2:$D$49,"NA")</f>
        <v>1</v>
      </c>
      <c r="S194">
        <f>_xlfn.XLOOKUP($P194,localities!$B$2:$B$49,localities!$E$2:$E$49,"NA")</f>
        <v>63.797785500000003</v>
      </c>
      <c r="T194">
        <f>_xlfn.XLOOKUP($P194,localities!$B$2:$B$49,localities!$F$2:$F$49,"NA")</f>
        <v>9.8281852999999995</v>
      </c>
      <c r="U194" t="str">
        <f>_xlfn.XLOOKUP($P194,localities!$B$2:$B$49,localities!$G$2:$G$49,"NA")</f>
        <v>WGS84</v>
      </c>
      <c r="V194">
        <f>_xlfn.XLOOKUP($P194,localities!$B$2:$B$49,localities!$H$2:$H$49,"NA")</f>
        <v>5</v>
      </c>
      <c r="W194" t="str">
        <f>_xlfn.XLOOKUP($P194,localities!$B$2:$B$49,localities!$I$2:$I$49,"NA")</f>
        <v>NOR</v>
      </c>
      <c r="X194" t="str">
        <f>_xlfn.XLOOKUP($P194,localities!$B$2:$B$49,localities!$J$2:$J$49,"NA")</f>
        <v>Norway</v>
      </c>
      <c r="Y194" t="str">
        <f>_xlfn.XLOOKUP($P194,localities!$B$2:$B$49,localities!$K$2:$K$49,"NA")</f>
        <v>Sør-Trøndelag</v>
      </c>
      <c r="Z194" t="str">
        <f>_xlfn.XLOOKUP($P194,localities!$B$2:$B$49,localities!$L$2:$L$49,"NA")</f>
        <v>Ørland</v>
      </c>
    </row>
    <row r="195" spans="2:26" x14ac:dyDescent="0.3">
      <c r="B195" t="s">
        <v>259</v>
      </c>
      <c r="C195" s="23">
        <v>1</v>
      </c>
      <c r="E195" t="s">
        <v>217</v>
      </c>
      <c r="F195" s="19">
        <f>_xlfn.XLOOKUP($E195,parent_events!$B$2:$B$56,parent_events!$C$2:$C$56,"NA")</f>
        <v>45446</v>
      </c>
      <c r="G195">
        <f>_xlfn.XLOOKUP($E195,parent_events!$B$2:$B$56,parent_events!$D$2:$D$56,"NA")</f>
        <v>2024</v>
      </c>
      <c r="H195">
        <f>_xlfn.XLOOKUP($E195,parent_events!$B$2:$B$56,parent_events!$E$2:$E$56,"NA")</f>
        <v>6</v>
      </c>
      <c r="I195">
        <f>_xlfn.XLOOKUP($E195,parent_events!$B$2:$B$56,parent_events!$F$2:$F$56,"NA")</f>
        <v>3</v>
      </c>
      <c r="J195">
        <f>_xlfn.XLOOKUP($E195,parent_events!$B$2:$B$56,parent_events!$G$2:$G$56,"NA")</f>
        <v>3</v>
      </c>
      <c r="K195" t="str">
        <f>_xlfn.XLOOKUP($E195,parent_events!$B$2:$B$56,parent_events!$H$2:$H$56,"NA")</f>
        <v>Rot (1 min)</v>
      </c>
      <c r="L195" t="str">
        <f>_xlfn.XLOOKUP($E195,parent_events!$B$2:$B$56,parent_events!$I$2:$I$56,"NA")</f>
        <v>"3 replicates of 1 minute kick samples"</v>
      </c>
      <c r="M195">
        <f>_xlfn.XLOOKUP($E195,parent_events!$B$2:$B$56,parent_events!$J$2:$J$56,"NA")</f>
        <v>1</v>
      </c>
      <c r="N195" s="23" t="str">
        <f>_xlfn.XLOOKUP($E195,parent_events!$B$2:$B$56,parent_events!$K$2:$K$56,"NA")</f>
        <v>decimalMinute</v>
      </c>
      <c r="P195" t="str">
        <f>_xlfn.XLOOKUP($E195,parent_events!$B$2:$B$56,parent_events!$L$2:$L$56,"NA")</f>
        <v>Gjoljavatnet_st1</v>
      </c>
      <c r="Q195" t="str">
        <f>_xlfn.XLOOKUP($P195,localities!$B$2:$B$49,localities!$C$2:$C$49,"NA")</f>
        <v>Gjøljavatnet</v>
      </c>
      <c r="R195">
        <f>_xlfn.XLOOKUP($P195,localities!$B$2:$B$49,localities!$D$2:$D$49,"NA")</f>
        <v>1</v>
      </c>
      <c r="S195">
        <f>_xlfn.XLOOKUP($P195,localities!$B$2:$B$49,localities!$E$2:$E$49,"NA")</f>
        <v>63.789260900000002</v>
      </c>
      <c r="T195">
        <f>_xlfn.XLOOKUP($P195,localities!$B$2:$B$49,localities!$F$2:$F$49,"NA")</f>
        <v>10.0251734</v>
      </c>
      <c r="U195" t="str">
        <f>_xlfn.XLOOKUP($P195,localities!$B$2:$B$49,localities!$G$2:$G$49,"NA")</f>
        <v>WGS84</v>
      </c>
      <c r="V195">
        <f>_xlfn.XLOOKUP($P195,localities!$B$2:$B$49,localities!$H$2:$H$49,"NA")</f>
        <v>5</v>
      </c>
      <c r="W195" t="str">
        <f>_xlfn.XLOOKUP($P195,localities!$B$2:$B$49,localities!$I$2:$I$49,"NA")</f>
        <v>NOR</v>
      </c>
      <c r="X195" t="str">
        <f>_xlfn.XLOOKUP($P195,localities!$B$2:$B$49,localities!$J$2:$J$49,"NA")</f>
        <v>Norway</v>
      </c>
      <c r="Y195" t="str">
        <f>_xlfn.XLOOKUP($P195,localities!$B$2:$B$49,localities!$K$2:$K$49,"NA")</f>
        <v>Sør-Trøndelag</v>
      </c>
      <c r="Z195" t="str">
        <f>_xlfn.XLOOKUP($P195,localities!$B$2:$B$49,localities!$L$2:$L$49,"NA")</f>
        <v>Indre Fosen</v>
      </c>
    </row>
    <row r="196" spans="2:26" x14ac:dyDescent="0.3">
      <c r="B196" t="s">
        <v>279</v>
      </c>
      <c r="C196" s="23">
        <v>2</v>
      </c>
      <c r="E196" t="s">
        <v>217</v>
      </c>
      <c r="F196" s="19">
        <f>_xlfn.XLOOKUP($E196,parent_events!$B$2:$B$56,parent_events!$C$2:$C$56,"NA")</f>
        <v>45446</v>
      </c>
      <c r="G196">
        <f>_xlfn.XLOOKUP($E196,parent_events!$B$2:$B$56,parent_events!$D$2:$D$56,"NA")</f>
        <v>2024</v>
      </c>
      <c r="H196">
        <f>_xlfn.XLOOKUP($E196,parent_events!$B$2:$B$56,parent_events!$E$2:$E$56,"NA")</f>
        <v>6</v>
      </c>
      <c r="I196">
        <f>_xlfn.XLOOKUP($E196,parent_events!$B$2:$B$56,parent_events!$F$2:$F$56,"NA")</f>
        <v>3</v>
      </c>
      <c r="J196">
        <f>_xlfn.XLOOKUP($E196,parent_events!$B$2:$B$56,parent_events!$G$2:$G$56,"NA")</f>
        <v>3</v>
      </c>
      <c r="K196" t="str">
        <f>_xlfn.XLOOKUP($E196,parent_events!$B$2:$B$56,parent_events!$H$2:$H$56,"NA")</f>
        <v>Rot (1 min)</v>
      </c>
      <c r="L196" t="str">
        <f>_xlfn.XLOOKUP($E196,parent_events!$B$2:$B$56,parent_events!$I$2:$I$56,"NA")</f>
        <v>"3 replicates of 1 minute kick samples"</v>
      </c>
      <c r="M196">
        <f>_xlfn.XLOOKUP($E196,parent_events!$B$2:$B$56,parent_events!$J$2:$J$56,"NA")</f>
        <v>1</v>
      </c>
      <c r="N196" s="23" t="str">
        <f>_xlfn.XLOOKUP($E196,parent_events!$B$2:$B$56,parent_events!$K$2:$K$56,"NA")</f>
        <v>decimalMinute</v>
      </c>
      <c r="P196" t="str">
        <f>_xlfn.XLOOKUP($E196,parent_events!$B$2:$B$56,parent_events!$L$2:$L$56,"NA")</f>
        <v>Gjoljavatnet_st1</v>
      </c>
      <c r="Q196" t="str">
        <f>_xlfn.XLOOKUP($P196,localities!$B$2:$B$49,localities!$C$2:$C$49,"NA")</f>
        <v>Gjøljavatnet</v>
      </c>
      <c r="R196">
        <f>_xlfn.XLOOKUP($P196,localities!$B$2:$B$49,localities!$D$2:$D$49,"NA")</f>
        <v>1</v>
      </c>
      <c r="S196">
        <f>_xlfn.XLOOKUP($P196,localities!$B$2:$B$49,localities!$E$2:$E$49,"NA")</f>
        <v>63.789260900000002</v>
      </c>
      <c r="T196">
        <f>_xlfn.XLOOKUP($P196,localities!$B$2:$B$49,localities!$F$2:$F$49,"NA")</f>
        <v>10.0251734</v>
      </c>
      <c r="U196" t="str">
        <f>_xlfn.XLOOKUP($P196,localities!$B$2:$B$49,localities!$G$2:$G$49,"NA")</f>
        <v>WGS84</v>
      </c>
      <c r="V196">
        <f>_xlfn.XLOOKUP($P196,localities!$B$2:$B$49,localities!$H$2:$H$49,"NA")</f>
        <v>5</v>
      </c>
      <c r="W196" t="str">
        <f>_xlfn.XLOOKUP($P196,localities!$B$2:$B$49,localities!$I$2:$I$49,"NA")</f>
        <v>NOR</v>
      </c>
      <c r="X196" t="str">
        <f>_xlfn.XLOOKUP($P196,localities!$B$2:$B$49,localities!$J$2:$J$49,"NA")</f>
        <v>Norway</v>
      </c>
      <c r="Y196" t="str">
        <f>_xlfn.XLOOKUP($P196,localities!$B$2:$B$49,localities!$K$2:$K$49,"NA")</f>
        <v>Sør-Trøndelag</v>
      </c>
      <c r="Z196" t="str">
        <f>_xlfn.XLOOKUP($P196,localities!$B$2:$B$49,localities!$L$2:$L$49,"NA")</f>
        <v>Indre Fosen</v>
      </c>
    </row>
    <row r="197" spans="2:26" x14ac:dyDescent="0.3">
      <c r="B197" t="s">
        <v>280</v>
      </c>
      <c r="C197" s="23">
        <v>3</v>
      </c>
      <c r="E197" t="s">
        <v>217</v>
      </c>
      <c r="F197" s="19">
        <f>_xlfn.XLOOKUP($E197,parent_events!$B$2:$B$56,parent_events!$C$2:$C$56,"NA")</f>
        <v>45446</v>
      </c>
      <c r="G197">
        <f>_xlfn.XLOOKUP($E197,parent_events!$B$2:$B$56,parent_events!$D$2:$D$56,"NA")</f>
        <v>2024</v>
      </c>
      <c r="H197">
        <f>_xlfn.XLOOKUP($E197,parent_events!$B$2:$B$56,parent_events!$E$2:$E$56,"NA")</f>
        <v>6</v>
      </c>
      <c r="I197">
        <f>_xlfn.XLOOKUP($E197,parent_events!$B$2:$B$56,parent_events!$F$2:$F$56,"NA")</f>
        <v>3</v>
      </c>
      <c r="J197">
        <f>_xlfn.XLOOKUP($E197,parent_events!$B$2:$B$56,parent_events!$G$2:$G$56,"NA")</f>
        <v>3</v>
      </c>
      <c r="K197" t="str">
        <f>_xlfn.XLOOKUP($E197,parent_events!$B$2:$B$56,parent_events!$H$2:$H$56,"NA")</f>
        <v>Rot (1 min)</v>
      </c>
      <c r="L197" t="str">
        <f>_xlfn.XLOOKUP($E197,parent_events!$B$2:$B$56,parent_events!$I$2:$I$56,"NA")</f>
        <v>"3 replicates of 1 minute kick samples"</v>
      </c>
      <c r="M197">
        <f>_xlfn.XLOOKUP($E197,parent_events!$B$2:$B$56,parent_events!$J$2:$J$56,"NA")</f>
        <v>1</v>
      </c>
      <c r="N197" s="23" t="str">
        <f>_xlfn.XLOOKUP($E197,parent_events!$B$2:$B$56,parent_events!$K$2:$K$56,"NA")</f>
        <v>decimalMinute</v>
      </c>
      <c r="P197" t="str">
        <f>_xlfn.XLOOKUP($E197,parent_events!$B$2:$B$56,parent_events!$L$2:$L$56,"NA")</f>
        <v>Gjoljavatnet_st1</v>
      </c>
      <c r="Q197" t="str">
        <f>_xlfn.XLOOKUP($P197,localities!$B$2:$B$49,localities!$C$2:$C$49,"NA")</f>
        <v>Gjøljavatnet</v>
      </c>
      <c r="R197">
        <f>_xlfn.XLOOKUP($P197,localities!$B$2:$B$49,localities!$D$2:$D$49,"NA")</f>
        <v>1</v>
      </c>
      <c r="S197">
        <f>_xlfn.XLOOKUP($P197,localities!$B$2:$B$49,localities!$E$2:$E$49,"NA")</f>
        <v>63.789260900000002</v>
      </c>
      <c r="T197">
        <f>_xlfn.XLOOKUP($P197,localities!$B$2:$B$49,localities!$F$2:$F$49,"NA")</f>
        <v>10.0251734</v>
      </c>
      <c r="U197" t="str">
        <f>_xlfn.XLOOKUP($P197,localities!$B$2:$B$49,localities!$G$2:$G$49,"NA")</f>
        <v>WGS84</v>
      </c>
      <c r="V197">
        <f>_xlfn.XLOOKUP($P197,localities!$B$2:$B$49,localities!$H$2:$H$49,"NA")</f>
        <v>5</v>
      </c>
      <c r="W197" t="str">
        <f>_xlfn.XLOOKUP($P197,localities!$B$2:$B$49,localities!$I$2:$I$49,"NA")</f>
        <v>NOR</v>
      </c>
      <c r="X197" t="str">
        <f>_xlfn.XLOOKUP($P197,localities!$B$2:$B$49,localities!$J$2:$J$49,"NA")</f>
        <v>Norway</v>
      </c>
      <c r="Y197" t="str">
        <f>_xlfn.XLOOKUP($P197,localities!$B$2:$B$49,localities!$K$2:$K$49,"NA")</f>
        <v>Sør-Trøndelag</v>
      </c>
      <c r="Z197" t="str">
        <f>_xlfn.XLOOKUP($P197,localities!$B$2:$B$49,localities!$L$2:$L$49,"NA")</f>
        <v>Indre Fosen</v>
      </c>
    </row>
    <row r="198" spans="2:26" x14ac:dyDescent="0.3">
      <c r="B198" t="s">
        <v>260</v>
      </c>
      <c r="C198" s="23">
        <v>1</v>
      </c>
      <c r="E198" t="s">
        <v>218</v>
      </c>
      <c r="F198" s="19">
        <f>_xlfn.XLOOKUP($E198,parent_events!$B$2:$B$56,parent_events!$C$2:$C$56,"NA")</f>
        <v>45446</v>
      </c>
      <c r="G198">
        <f>_xlfn.XLOOKUP($E198,parent_events!$B$2:$B$56,parent_events!$D$2:$D$56,"NA")</f>
        <v>2024</v>
      </c>
      <c r="H198">
        <f>_xlfn.XLOOKUP($E198,parent_events!$B$2:$B$56,parent_events!$E$2:$E$56,"NA")</f>
        <v>6</v>
      </c>
      <c r="I198">
        <f>_xlfn.XLOOKUP($E198,parent_events!$B$2:$B$56,parent_events!$F$2:$F$56,"NA")</f>
        <v>3</v>
      </c>
      <c r="J198">
        <f>_xlfn.XLOOKUP($E198,parent_events!$B$2:$B$56,parent_events!$G$2:$G$56,"NA")</f>
        <v>3</v>
      </c>
      <c r="K198" t="str">
        <f>_xlfn.XLOOKUP($E198,parent_events!$B$2:$B$56,parent_events!$H$2:$H$56,"NA")</f>
        <v>Rot (1 min)</v>
      </c>
      <c r="L198" t="str">
        <f>_xlfn.XLOOKUP($E198,parent_events!$B$2:$B$56,parent_events!$I$2:$I$56,"NA")</f>
        <v>"3 replicates of 1 minute kick samples"</v>
      </c>
      <c r="M198">
        <f>_xlfn.XLOOKUP($E198,parent_events!$B$2:$B$56,parent_events!$J$2:$J$56,"NA")</f>
        <v>1</v>
      </c>
      <c r="N198" s="23" t="str">
        <f>_xlfn.XLOOKUP($E198,parent_events!$B$2:$B$56,parent_events!$K$2:$K$56,"NA")</f>
        <v>decimalMinute</v>
      </c>
      <c r="P198" t="str">
        <f>_xlfn.XLOOKUP($E198,parent_events!$B$2:$B$56,parent_events!$L$2:$L$56,"NA")</f>
        <v>Storvatnet_st1</v>
      </c>
      <c r="Q198" t="str">
        <f>_xlfn.XLOOKUP($P198,localities!$B$2:$B$49,localities!$C$2:$C$49,"NA")</f>
        <v>Storvatnet</v>
      </c>
      <c r="R198">
        <f>_xlfn.XLOOKUP($P198,localities!$B$2:$B$49,localities!$D$2:$D$49,"NA")</f>
        <v>1</v>
      </c>
      <c r="S198">
        <f>_xlfn.XLOOKUP($P198,localities!$B$2:$B$49,localities!$E$2:$E$49,"NA")</f>
        <v>63.621177600000003</v>
      </c>
      <c r="T198">
        <f>_xlfn.XLOOKUP($P198,localities!$B$2:$B$49,localities!$F$2:$F$49,"NA")</f>
        <v>10.2333759</v>
      </c>
      <c r="U198" t="str">
        <f>_xlfn.XLOOKUP($P198,localities!$B$2:$B$49,localities!$G$2:$G$49,"NA")</f>
        <v>WGS84</v>
      </c>
      <c r="V198">
        <f>_xlfn.XLOOKUP($P198,localities!$B$2:$B$49,localities!$H$2:$H$49,"NA")</f>
        <v>5</v>
      </c>
      <c r="W198" t="str">
        <f>_xlfn.XLOOKUP($P198,localities!$B$2:$B$49,localities!$I$2:$I$49,"NA")</f>
        <v>NOR</v>
      </c>
      <c r="X198" t="str">
        <f>_xlfn.XLOOKUP($P198,localities!$B$2:$B$49,localities!$J$2:$J$49,"NA")</f>
        <v>Norway</v>
      </c>
      <c r="Y198" t="str">
        <f>_xlfn.XLOOKUP($P198,localities!$B$2:$B$49,localities!$K$2:$K$49,"NA")</f>
        <v>Nord-Trøndelag</v>
      </c>
      <c r="Z198" t="str">
        <f>_xlfn.XLOOKUP($P198,localities!$B$2:$B$49,localities!$L$2:$L$49,"NA")</f>
        <v>Indre Fosen</v>
      </c>
    </row>
    <row r="199" spans="2:26" x14ac:dyDescent="0.3">
      <c r="B199" t="s">
        <v>281</v>
      </c>
      <c r="C199" s="23">
        <v>2</v>
      </c>
      <c r="E199" t="s">
        <v>218</v>
      </c>
      <c r="F199" s="19">
        <f>_xlfn.XLOOKUP($E199,parent_events!$B$2:$B$56,parent_events!$C$2:$C$56,"NA")</f>
        <v>45446</v>
      </c>
      <c r="G199">
        <f>_xlfn.XLOOKUP($E199,parent_events!$B$2:$B$56,parent_events!$D$2:$D$56,"NA")</f>
        <v>2024</v>
      </c>
      <c r="H199">
        <f>_xlfn.XLOOKUP($E199,parent_events!$B$2:$B$56,parent_events!$E$2:$E$56,"NA")</f>
        <v>6</v>
      </c>
      <c r="I199">
        <f>_xlfn.XLOOKUP($E199,parent_events!$B$2:$B$56,parent_events!$F$2:$F$56,"NA")</f>
        <v>3</v>
      </c>
      <c r="J199">
        <f>_xlfn.XLOOKUP($E199,parent_events!$B$2:$B$56,parent_events!$G$2:$G$56,"NA")</f>
        <v>3</v>
      </c>
      <c r="K199" t="str">
        <f>_xlfn.XLOOKUP($E199,parent_events!$B$2:$B$56,parent_events!$H$2:$H$56,"NA")</f>
        <v>Rot (1 min)</v>
      </c>
      <c r="L199" t="str">
        <f>_xlfn.XLOOKUP($E199,parent_events!$B$2:$B$56,parent_events!$I$2:$I$56,"NA")</f>
        <v>"3 replicates of 1 minute kick samples"</v>
      </c>
      <c r="M199">
        <f>_xlfn.XLOOKUP($E199,parent_events!$B$2:$B$56,parent_events!$J$2:$J$56,"NA")</f>
        <v>1</v>
      </c>
      <c r="N199" s="23" t="str">
        <f>_xlfn.XLOOKUP($E199,parent_events!$B$2:$B$56,parent_events!$K$2:$K$56,"NA")</f>
        <v>decimalMinute</v>
      </c>
      <c r="P199" t="str">
        <f>_xlfn.XLOOKUP($E199,parent_events!$B$2:$B$56,parent_events!$L$2:$L$56,"NA")</f>
        <v>Storvatnet_st1</v>
      </c>
      <c r="Q199" t="str">
        <f>_xlfn.XLOOKUP($P199,localities!$B$2:$B$49,localities!$C$2:$C$49,"NA")</f>
        <v>Storvatnet</v>
      </c>
      <c r="R199">
        <f>_xlfn.XLOOKUP($P199,localities!$B$2:$B$49,localities!$D$2:$D$49,"NA")</f>
        <v>1</v>
      </c>
      <c r="S199">
        <f>_xlfn.XLOOKUP($P199,localities!$B$2:$B$49,localities!$E$2:$E$49,"NA")</f>
        <v>63.621177600000003</v>
      </c>
      <c r="T199">
        <f>_xlfn.XLOOKUP($P199,localities!$B$2:$B$49,localities!$F$2:$F$49,"NA")</f>
        <v>10.2333759</v>
      </c>
      <c r="U199" t="str">
        <f>_xlfn.XLOOKUP($P199,localities!$B$2:$B$49,localities!$G$2:$G$49,"NA")</f>
        <v>WGS84</v>
      </c>
      <c r="V199">
        <f>_xlfn.XLOOKUP($P199,localities!$B$2:$B$49,localities!$H$2:$H$49,"NA")</f>
        <v>5</v>
      </c>
      <c r="W199" t="str">
        <f>_xlfn.XLOOKUP($P199,localities!$B$2:$B$49,localities!$I$2:$I$49,"NA")</f>
        <v>NOR</v>
      </c>
      <c r="X199" t="str">
        <f>_xlfn.XLOOKUP($P199,localities!$B$2:$B$49,localities!$J$2:$J$49,"NA")</f>
        <v>Norway</v>
      </c>
      <c r="Y199" t="str">
        <f>_xlfn.XLOOKUP($P199,localities!$B$2:$B$49,localities!$K$2:$K$49,"NA")</f>
        <v>Nord-Trøndelag</v>
      </c>
      <c r="Z199" t="str">
        <f>_xlfn.XLOOKUP($P199,localities!$B$2:$B$49,localities!$L$2:$L$49,"NA")</f>
        <v>Indre Fosen</v>
      </c>
    </row>
    <row r="200" spans="2:26" x14ac:dyDescent="0.3">
      <c r="B200" t="s">
        <v>282</v>
      </c>
      <c r="C200" s="23">
        <v>3</v>
      </c>
      <c r="E200" t="s">
        <v>218</v>
      </c>
      <c r="F200" s="19">
        <f>_xlfn.XLOOKUP($E200,parent_events!$B$2:$B$56,parent_events!$C$2:$C$56,"NA")</f>
        <v>45446</v>
      </c>
      <c r="G200">
        <f>_xlfn.XLOOKUP($E200,parent_events!$B$2:$B$56,parent_events!$D$2:$D$56,"NA")</f>
        <v>2024</v>
      </c>
      <c r="H200">
        <f>_xlfn.XLOOKUP($E200,parent_events!$B$2:$B$56,parent_events!$E$2:$E$56,"NA")</f>
        <v>6</v>
      </c>
      <c r="I200">
        <f>_xlfn.XLOOKUP($E200,parent_events!$B$2:$B$56,parent_events!$F$2:$F$56,"NA")</f>
        <v>3</v>
      </c>
      <c r="J200">
        <f>_xlfn.XLOOKUP($E200,parent_events!$B$2:$B$56,parent_events!$G$2:$G$56,"NA")</f>
        <v>3</v>
      </c>
      <c r="K200" t="str">
        <f>_xlfn.XLOOKUP($E200,parent_events!$B$2:$B$56,parent_events!$H$2:$H$56,"NA")</f>
        <v>Rot (1 min)</v>
      </c>
      <c r="L200" t="str">
        <f>_xlfn.XLOOKUP($E200,parent_events!$B$2:$B$56,parent_events!$I$2:$I$56,"NA")</f>
        <v>"3 replicates of 1 minute kick samples"</v>
      </c>
      <c r="M200">
        <f>_xlfn.XLOOKUP($E200,parent_events!$B$2:$B$56,parent_events!$J$2:$J$56,"NA")</f>
        <v>1</v>
      </c>
      <c r="N200" s="23" t="str">
        <f>_xlfn.XLOOKUP($E200,parent_events!$B$2:$B$56,parent_events!$K$2:$K$56,"NA")</f>
        <v>decimalMinute</v>
      </c>
      <c r="P200" t="str">
        <f>_xlfn.XLOOKUP($E200,parent_events!$B$2:$B$56,parent_events!$L$2:$L$56,"NA")</f>
        <v>Storvatnet_st1</v>
      </c>
      <c r="Q200" t="str">
        <f>_xlfn.XLOOKUP($P200,localities!$B$2:$B$49,localities!$C$2:$C$49,"NA")</f>
        <v>Storvatnet</v>
      </c>
      <c r="R200">
        <f>_xlfn.XLOOKUP($P200,localities!$B$2:$B$49,localities!$D$2:$D$49,"NA")</f>
        <v>1</v>
      </c>
      <c r="S200">
        <f>_xlfn.XLOOKUP($P200,localities!$B$2:$B$49,localities!$E$2:$E$49,"NA")</f>
        <v>63.621177600000003</v>
      </c>
      <c r="T200">
        <f>_xlfn.XLOOKUP($P200,localities!$B$2:$B$49,localities!$F$2:$F$49,"NA")</f>
        <v>10.2333759</v>
      </c>
      <c r="U200" t="str">
        <f>_xlfn.XLOOKUP($P200,localities!$B$2:$B$49,localities!$G$2:$G$49,"NA")</f>
        <v>WGS84</v>
      </c>
      <c r="V200">
        <f>_xlfn.XLOOKUP($P200,localities!$B$2:$B$49,localities!$H$2:$H$49,"NA")</f>
        <v>5</v>
      </c>
      <c r="W200" t="str">
        <f>_xlfn.XLOOKUP($P200,localities!$B$2:$B$49,localities!$I$2:$I$49,"NA")</f>
        <v>NOR</v>
      </c>
      <c r="X200" t="str">
        <f>_xlfn.XLOOKUP($P200,localities!$B$2:$B$49,localities!$J$2:$J$49,"NA")</f>
        <v>Norway</v>
      </c>
      <c r="Y200" t="str">
        <f>_xlfn.XLOOKUP($P200,localities!$B$2:$B$49,localities!$K$2:$K$49,"NA")</f>
        <v>Nord-Trøndelag</v>
      </c>
      <c r="Z200" t="str">
        <f>_xlfn.XLOOKUP($P200,localities!$B$2:$B$49,localities!$L$2:$L$49,"NA")</f>
        <v>Indre Fosen</v>
      </c>
    </row>
    <row r="201" spans="2:26" x14ac:dyDescent="0.3">
      <c r="B201" t="s">
        <v>261</v>
      </c>
      <c r="C201" s="23">
        <v>1</v>
      </c>
      <c r="E201" t="s">
        <v>219</v>
      </c>
      <c r="F201" s="19">
        <f>_xlfn.XLOOKUP($E201,parent_events!$B$2:$B$56,parent_events!$C$2:$C$56,"NA")</f>
        <v>45447</v>
      </c>
      <c r="G201">
        <f>_xlfn.XLOOKUP($E201,parent_events!$B$2:$B$56,parent_events!$D$2:$D$56,"NA")</f>
        <v>2024</v>
      </c>
      <c r="H201">
        <f>_xlfn.XLOOKUP($E201,parent_events!$B$2:$B$56,parent_events!$E$2:$E$56,"NA")</f>
        <v>6</v>
      </c>
      <c r="I201">
        <f>_xlfn.XLOOKUP($E201,parent_events!$B$2:$B$56,parent_events!$F$2:$F$56,"NA")</f>
        <v>4</v>
      </c>
      <c r="J201">
        <f>_xlfn.XLOOKUP($E201,parent_events!$B$2:$B$56,parent_events!$G$2:$G$56,"NA")</f>
        <v>3</v>
      </c>
      <c r="K201" t="str">
        <f>_xlfn.XLOOKUP($E201,parent_events!$B$2:$B$56,parent_events!$H$2:$H$56,"NA")</f>
        <v>Rot (1 min)</v>
      </c>
      <c r="L201" t="str">
        <f>_xlfn.XLOOKUP($E201,parent_events!$B$2:$B$56,parent_events!$I$2:$I$56,"NA")</f>
        <v>"3 replicates of 1 minute kick samples"</v>
      </c>
      <c r="M201">
        <f>_xlfn.XLOOKUP($E201,parent_events!$B$2:$B$56,parent_events!$J$2:$J$56,"NA")</f>
        <v>1</v>
      </c>
      <c r="N201" s="23" t="str">
        <f>_xlfn.XLOOKUP($E201,parent_events!$B$2:$B$56,parent_events!$K$2:$K$56,"NA")</f>
        <v>decimalMinute</v>
      </c>
      <c r="P201" t="str">
        <f>_xlfn.XLOOKUP($E201,parent_events!$B$2:$B$56,parent_events!$L$2:$L$56,"NA")</f>
        <v>Kilvatnet_st1</v>
      </c>
      <c r="Q201" t="str">
        <f>_xlfn.XLOOKUP($P201,localities!$B$2:$B$49,localities!$C$2:$C$49,"NA")</f>
        <v>Kilvatnet</v>
      </c>
      <c r="R201">
        <f>_xlfn.XLOOKUP($P201,localities!$B$2:$B$49,localities!$D$2:$D$49,"NA")</f>
        <v>1</v>
      </c>
      <c r="S201">
        <f>_xlfn.XLOOKUP($P201,localities!$B$2:$B$49,localities!$E$2:$E$49,"NA")</f>
        <v>63.3447909</v>
      </c>
      <c r="T201">
        <f>_xlfn.XLOOKUP($P201,localities!$B$2:$B$49,localities!$F$2:$F$49,"NA")</f>
        <v>10.5500174</v>
      </c>
      <c r="U201" t="str">
        <f>_xlfn.XLOOKUP($P201,localities!$B$2:$B$49,localities!$G$2:$G$49,"NA")</f>
        <v>WGS84</v>
      </c>
      <c r="V201">
        <f>_xlfn.XLOOKUP($P201,localities!$B$2:$B$49,localities!$H$2:$H$49,"NA")</f>
        <v>5</v>
      </c>
      <c r="W201" t="str">
        <f>_xlfn.XLOOKUP($P201,localities!$B$2:$B$49,localities!$I$2:$I$49,"NA")</f>
        <v>NOR</v>
      </c>
      <c r="X201" t="str">
        <f>_xlfn.XLOOKUP($P201,localities!$B$2:$B$49,localities!$J$2:$J$49,"NA")</f>
        <v>Norway</v>
      </c>
      <c r="Y201" t="str">
        <f>_xlfn.XLOOKUP($P201,localities!$B$2:$B$49,localities!$K$2:$K$49,"NA")</f>
        <v>Sør-Trøndelag</v>
      </c>
      <c r="Z201" t="str">
        <f>_xlfn.XLOOKUP($P201,localities!$B$2:$B$49,localities!$L$2:$L$49,"NA")</f>
        <v>Trondheim</v>
      </c>
    </row>
    <row r="202" spans="2:26" x14ac:dyDescent="0.3">
      <c r="B202" t="s">
        <v>283</v>
      </c>
      <c r="C202" s="23">
        <v>2</v>
      </c>
      <c r="E202" t="s">
        <v>219</v>
      </c>
      <c r="F202" s="19">
        <f>_xlfn.XLOOKUP($E202,parent_events!$B$2:$B$56,parent_events!$C$2:$C$56,"NA")</f>
        <v>45447</v>
      </c>
      <c r="G202">
        <f>_xlfn.XLOOKUP($E202,parent_events!$B$2:$B$56,parent_events!$D$2:$D$56,"NA")</f>
        <v>2024</v>
      </c>
      <c r="H202">
        <f>_xlfn.XLOOKUP($E202,parent_events!$B$2:$B$56,parent_events!$E$2:$E$56,"NA")</f>
        <v>6</v>
      </c>
      <c r="I202">
        <f>_xlfn.XLOOKUP($E202,parent_events!$B$2:$B$56,parent_events!$F$2:$F$56,"NA")</f>
        <v>4</v>
      </c>
      <c r="J202">
        <f>_xlfn.XLOOKUP($E202,parent_events!$B$2:$B$56,parent_events!$G$2:$G$56,"NA")</f>
        <v>3</v>
      </c>
      <c r="K202" t="str">
        <f>_xlfn.XLOOKUP($E202,parent_events!$B$2:$B$56,parent_events!$H$2:$H$56,"NA")</f>
        <v>Rot (1 min)</v>
      </c>
      <c r="L202" t="str">
        <f>_xlfn.XLOOKUP($E202,parent_events!$B$2:$B$56,parent_events!$I$2:$I$56,"NA")</f>
        <v>"3 replicates of 1 minute kick samples"</v>
      </c>
      <c r="M202">
        <f>_xlfn.XLOOKUP($E202,parent_events!$B$2:$B$56,parent_events!$J$2:$J$56,"NA")</f>
        <v>1</v>
      </c>
      <c r="N202" s="23" t="str">
        <f>_xlfn.XLOOKUP($E202,parent_events!$B$2:$B$56,parent_events!$K$2:$K$56,"NA")</f>
        <v>decimalMinute</v>
      </c>
      <c r="P202" t="str">
        <f>_xlfn.XLOOKUP($E202,parent_events!$B$2:$B$56,parent_events!$L$2:$L$56,"NA")</f>
        <v>Kilvatnet_st1</v>
      </c>
      <c r="Q202" t="str">
        <f>_xlfn.XLOOKUP($P202,localities!$B$2:$B$49,localities!$C$2:$C$49,"NA")</f>
        <v>Kilvatnet</v>
      </c>
      <c r="R202">
        <f>_xlfn.XLOOKUP($P202,localities!$B$2:$B$49,localities!$D$2:$D$49,"NA")</f>
        <v>1</v>
      </c>
      <c r="S202">
        <f>_xlfn.XLOOKUP($P202,localities!$B$2:$B$49,localities!$E$2:$E$49,"NA")</f>
        <v>63.3447909</v>
      </c>
      <c r="T202">
        <f>_xlfn.XLOOKUP($P202,localities!$B$2:$B$49,localities!$F$2:$F$49,"NA")</f>
        <v>10.5500174</v>
      </c>
      <c r="U202" t="str">
        <f>_xlfn.XLOOKUP($P202,localities!$B$2:$B$49,localities!$G$2:$G$49,"NA")</f>
        <v>WGS84</v>
      </c>
      <c r="V202">
        <f>_xlfn.XLOOKUP($P202,localities!$B$2:$B$49,localities!$H$2:$H$49,"NA")</f>
        <v>5</v>
      </c>
      <c r="W202" t="str">
        <f>_xlfn.XLOOKUP($P202,localities!$B$2:$B$49,localities!$I$2:$I$49,"NA")</f>
        <v>NOR</v>
      </c>
      <c r="X202" t="str">
        <f>_xlfn.XLOOKUP($P202,localities!$B$2:$B$49,localities!$J$2:$J$49,"NA")</f>
        <v>Norway</v>
      </c>
      <c r="Y202" t="str">
        <f>_xlfn.XLOOKUP($P202,localities!$B$2:$B$49,localities!$K$2:$K$49,"NA")</f>
        <v>Sør-Trøndelag</v>
      </c>
      <c r="Z202" t="str">
        <f>_xlfn.XLOOKUP($P202,localities!$B$2:$B$49,localities!$L$2:$L$49,"NA")</f>
        <v>Trondheim</v>
      </c>
    </row>
    <row r="203" spans="2:26" x14ac:dyDescent="0.3">
      <c r="B203" t="s">
        <v>284</v>
      </c>
      <c r="C203" s="23">
        <v>3</v>
      </c>
      <c r="E203" t="s">
        <v>219</v>
      </c>
      <c r="F203" s="19">
        <f>_xlfn.XLOOKUP($E203,parent_events!$B$2:$B$56,parent_events!$C$2:$C$56,"NA")</f>
        <v>45447</v>
      </c>
      <c r="G203">
        <f>_xlfn.XLOOKUP($E203,parent_events!$B$2:$B$56,parent_events!$D$2:$D$56,"NA")</f>
        <v>2024</v>
      </c>
      <c r="H203">
        <f>_xlfn.XLOOKUP($E203,parent_events!$B$2:$B$56,parent_events!$E$2:$E$56,"NA")</f>
        <v>6</v>
      </c>
      <c r="I203">
        <f>_xlfn.XLOOKUP($E203,parent_events!$B$2:$B$56,parent_events!$F$2:$F$56,"NA")</f>
        <v>4</v>
      </c>
      <c r="J203">
        <f>_xlfn.XLOOKUP($E203,parent_events!$B$2:$B$56,parent_events!$G$2:$G$56,"NA")</f>
        <v>3</v>
      </c>
      <c r="K203" t="str">
        <f>_xlfn.XLOOKUP($E203,parent_events!$B$2:$B$56,parent_events!$H$2:$H$56,"NA")</f>
        <v>Rot (1 min)</v>
      </c>
      <c r="L203" t="str">
        <f>_xlfn.XLOOKUP($E203,parent_events!$B$2:$B$56,parent_events!$I$2:$I$56,"NA")</f>
        <v>"3 replicates of 1 minute kick samples"</v>
      </c>
      <c r="M203">
        <f>_xlfn.XLOOKUP($E203,parent_events!$B$2:$B$56,parent_events!$J$2:$J$56,"NA")</f>
        <v>1</v>
      </c>
      <c r="N203" s="23" t="str">
        <f>_xlfn.XLOOKUP($E203,parent_events!$B$2:$B$56,parent_events!$K$2:$K$56,"NA")</f>
        <v>decimalMinute</v>
      </c>
      <c r="P203" t="str">
        <f>_xlfn.XLOOKUP($E203,parent_events!$B$2:$B$56,parent_events!$L$2:$L$56,"NA")</f>
        <v>Kilvatnet_st1</v>
      </c>
      <c r="Q203" t="str">
        <f>_xlfn.XLOOKUP($P203,localities!$B$2:$B$49,localities!$C$2:$C$49,"NA")</f>
        <v>Kilvatnet</v>
      </c>
      <c r="R203">
        <f>_xlfn.XLOOKUP($P203,localities!$B$2:$B$49,localities!$D$2:$D$49,"NA")</f>
        <v>1</v>
      </c>
      <c r="S203">
        <f>_xlfn.XLOOKUP($P203,localities!$B$2:$B$49,localities!$E$2:$E$49,"NA")</f>
        <v>63.3447909</v>
      </c>
      <c r="T203">
        <f>_xlfn.XLOOKUP($P203,localities!$B$2:$B$49,localities!$F$2:$F$49,"NA")</f>
        <v>10.5500174</v>
      </c>
      <c r="U203" t="str">
        <f>_xlfn.XLOOKUP($P203,localities!$B$2:$B$49,localities!$G$2:$G$49,"NA")</f>
        <v>WGS84</v>
      </c>
      <c r="V203">
        <f>_xlfn.XLOOKUP($P203,localities!$B$2:$B$49,localities!$H$2:$H$49,"NA")</f>
        <v>5</v>
      </c>
      <c r="W203" t="str">
        <f>_xlfn.XLOOKUP($P203,localities!$B$2:$B$49,localities!$I$2:$I$49,"NA")</f>
        <v>NOR</v>
      </c>
      <c r="X203" t="str">
        <f>_xlfn.XLOOKUP($P203,localities!$B$2:$B$49,localities!$J$2:$J$49,"NA")</f>
        <v>Norway</v>
      </c>
      <c r="Y203" t="str">
        <f>_xlfn.XLOOKUP($P203,localities!$B$2:$B$49,localities!$K$2:$K$49,"NA")</f>
        <v>Sør-Trøndelag</v>
      </c>
      <c r="Z203" t="str">
        <f>_xlfn.XLOOKUP($P203,localities!$B$2:$B$49,localities!$L$2:$L$49,"NA")</f>
        <v>Trondheim</v>
      </c>
    </row>
    <row r="204" spans="2:26" x14ac:dyDescent="0.3">
      <c r="B204" t="s">
        <v>262</v>
      </c>
      <c r="C204" s="23">
        <v>1</v>
      </c>
      <c r="E204" t="s">
        <v>220</v>
      </c>
      <c r="F204" s="19">
        <f>_xlfn.XLOOKUP($E204,parent_events!$B$2:$B$56,parent_events!$C$2:$C$56,"NA")</f>
        <v>45447</v>
      </c>
      <c r="G204">
        <f>_xlfn.XLOOKUP($E204,parent_events!$B$2:$B$56,parent_events!$D$2:$D$56,"NA")</f>
        <v>2024</v>
      </c>
      <c r="H204">
        <f>_xlfn.XLOOKUP($E204,parent_events!$B$2:$B$56,parent_events!$E$2:$E$56,"NA")</f>
        <v>6</v>
      </c>
      <c r="I204">
        <f>_xlfn.XLOOKUP($E204,parent_events!$B$2:$B$56,parent_events!$F$2:$F$56,"NA")</f>
        <v>4</v>
      </c>
      <c r="J204">
        <f>_xlfn.XLOOKUP($E204,parent_events!$B$2:$B$56,parent_events!$G$2:$G$56,"NA")</f>
        <v>3</v>
      </c>
      <c r="K204" t="str">
        <f>_xlfn.XLOOKUP($E204,parent_events!$B$2:$B$56,parent_events!$H$2:$H$56,"NA")</f>
        <v>Rot (1 min)</v>
      </c>
      <c r="L204" t="str">
        <f>_xlfn.XLOOKUP($E204,parent_events!$B$2:$B$56,parent_events!$I$2:$I$56,"NA")</f>
        <v>"3 replicates of 1 minute kick samples"</v>
      </c>
      <c r="M204">
        <f>_xlfn.XLOOKUP($E204,parent_events!$B$2:$B$56,parent_events!$J$2:$J$56,"NA")</f>
        <v>1</v>
      </c>
      <c r="N204" s="23" t="str">
        <f>_xlfn.XLOOKUP($E204,parent_events!$B$2:$B$56,parent_events!$K$2:$K$56,"NA")</f>
        <v>decimalMinute</v>
      </c>
      <c r="P204" t="str">
        <f>_xlfn.XLOOKUP($E204,parent_events!$B$2:$B$56,parent_events!$L$2:$L$56,"NA")</f>
        <v>Stor-Drakstsjoen_st1</v>
      </c>
      <c r="Q204" t="str">
        <f>_xlfn.XLOOKUP($P204,localities!$B$2:$B$49,localities!$C$2:$C$49,"NA")</f>
        <v>Stor-Drakstsjøen</v>
      </c>
      <c r="R204">
        <f>_xlfn.XLOOKUP($P204,localities!$B$2:$B$49,localities!$D$2:$D$49,"NA")</f>
        <v>1</v>
      </c>
      <c r="S204">
        <f>_xlfn.XLOOKUP($P204,localities!$B$2:$B$49,localities!$E$2:$E$49,"NA")</f>
        <v>63.286461099999997</v>
      </c>
      <c r="T204">
        <f>_xlfn.XLOOKUP($P204,localities!$B$2:$B$49,localities!$F$2:$F$49,"NA")</f>
        <v>10.802471300000001</v>
      </c>
      <c r="U204" t="str">
        <f>_xlfn.XLOOKUP($P204,localities!$B$2:$B$49,localities!$G$2:$G$49,"NA")</f>
        <v>WGS84</v>
      </c>
      <c r="V204">
        <f>_xlfn.XLOOKUP($P204,localities!$B$2:$B$49,localities!$H$2:$H$49,"NA")</f>
        <v>5</v>
      </c>
      <c r="W204" t="str">
        <f>_xlfn.XLOOKUP($P204,localities!$B$2:$B$49,localities!$I$2:$I$49,"NA")</f>
        <v>NOR</v>
      </c>
      <c r="X204" t="str">
        <f>_xlfn.XLOOKUP($P204,localities!$B$2:$B$49,localities!$J$2:$J$49,"NA")</f>
        <v>Norway</v>
      </c>
      <c r="Y204" t="str">
        <f>_xlfn.XLOOKUP($P204,localities!$B$2:$B$49,localities!$K$2:$K$49,"NA")</f>
        <v>Sør-Trøndelag</v>
      </c>
      <c r="Z204" t="str">
        <f>_xlfn.XLOOKUP($P204,localities!$B$2:$B$49,localities!$L$2:$L$49,"NA")</f>
        <v>Selbu</v>
      </c>
    </row>
    <row r="205" spans="2:26" x14ac:dyDescent="0.3">
      <c r="B205" t="s">
        <v>285</v>
      </c>
      <c r="C205" s="23">
        <v>2</v>
      </c>
      <c r="E205" t="s">
        <v>220</v>
      </c>
      <c r="F205" s="19">
        <f>_xlfn.XLOOKUP($E205,parent_events!$B$2:$B$56,parent_events!$C$2:$C$56,"NA")</f>
        <v>45447</v>
      </c>
      <c r="G205">
        <f>_xlfn.XLOOKUP($E205,parent_events!$B$2:$B$56,parent_events!$D$2:$D$56,"NA")</f>
        <v>2024</v>
      </c>
      <c r="H205">
        <f>_xlfn.XLOOKUP($E205,parent_events!$B$2:$B$56,parent_events!$E$2:$E$56,"NA")</f>
        <v>6</v>
      </c>
      <c r="I205">
        <f>_xlfn.XLOOKUP($E205,parent_events!$B$2:$B$56,parent_events!$F$2:$F$56,"NA")</f>
        <v>4</v>
      </c>
      <c r="J205">
        <f>_xlfn.XLOOKUP($E205,parent_events!$B$2:$B$56,parent_events!$G$2:$G$56,"NA")</f>
        <v>3</v>
      </c>
      <c r="K205" t="str">
        <f>_xlfn.XLOOKUP($E205,parent_events!$B$2:$B$56,parent_events!$H$2:$H$56,"NA")</f>
        <v>Rot (1 min)</v>
      </c>
      <c r="L205" t="str">
        <f>_xlfn.XLOOKUP($E205,parent_events!$B$2:$B$56,parent_events!$I$2:$I$56,"NA")</f>
        <v>"3 replicates of 1 minute kick samples"</v>
      </c>
      <c r="M205">
        <f>_xlfn.XLOOKUP($E205,parent_events!$B$2:$B$56,parent_events!$J$2:$J$56,"NA")</f>
        <v>1</v>
      </c>
      <c r="N205" s="23" t="str">
        <f>_xlfn.XLOOKUP($E205,parent_events!$B$2:$B$56,parent_events!$K$2:$K$56,"NA")</f>
        <v>decimalMinute</v>
      </c>
      <c r="P205" t="str">
        <f>_xlfn.XLOOKUP($E205,parent_events!$B$2:$B$56,parent_events!$L$2:$L$56,"NA")</f>
        <v>Stor-Drakstsjoen_st1</v>
      </c>
      <c r="Q205" t="str">
        <f>_xlfn.XLOOKUP($P205,localities!$B$2:$B$49,localities!$C$2:$C$49,"NA")</f>
        <v>Stor-Drakstsjøen</v>
      </c>
      <c r="R205">
        <f>_xlfn.XLOOKUP($P205,localities!$B$2:$B$49,localities!$D$2:$D$49,"NA")</f>
        <v>1</v>
      </c>
      <c r="S205">
        <f>_xlfn.XLOOKUP($P205,localities!$B$2:$B$49,localities!$E$2:$E$49,"NA")</f>
        <v>63.286461099999997</v>
      </c>
      <c r="T205">
        <f>_xlfn.XLOOKUP($P205,localities!$B$2:$B$49,localities!$F$2:$F$49,"NA")</f>
        <v>10.802471300000001</v>
      </c>
      <c r="U205" t="str">
        <f>_xlfn.XLOOKUP($P205,localities!$B$2:$B$49,localities!$G$2:$G$49,"NA")</f>
        <v>WGS84</v>
      </c>
      <c r="V205">
        <f>_xlfn.XLOOKUP($P205,localities!$B$2:$B$49,localities!$H$2:$H$49,"NA")</f>
        <v>5</v>
      </c>
      <c r="W205" t="str">
        <f>_xlfn.XLOOKUP($P205,localities!$B$2:$B$49,localities!$I$2:$I$49,"NA")</f>
        <v>NOR</v>
      </c>
      <c r="X205" t="str">
        <f>_xlfn.XLOOKUP($P205,localities!$B$2:$B$49,localities!$J$2:$J$49,"NA")</f>
        <v>Norway</v>
      </c>
      <c r="Y205" t="str">
        <f>_xlfn.XLOOKUP($P205,localities!$B$2:$B$49,localities!$K$2:$K$49,"NA")</f>
        <v>Sør-Trøndelag</v>
      </c>
      <c r="Z205" t="str">
        <f>_xlfn.XLOOKUP($P205,localities!$B$2:$B$49,localities!$L$2:$L$49,"NA")</f>
        <v>Selbu</v>
      </c>
    </row>
    <row r="206" spans="2:26" x14ac:dyDescent="0.3">
      <c r="B206" t="s">
        <v>286</v>
      </c>
      <c r="C206" s="23">
        <v>3</v>
      </c>
      <c r="E206" t="s">
        <v>220</v>
      </c>
      <c r="F206" s="19">
        <f>_xlfn.XLOOKUP($E206,parent_events!$B$2:$B$56,parent_events!$C$2:$C$56,"NA")</f>
        <v>45447</v>
      </c>
      <c r="G206">
        <f>_xlfn.XLOOKUP($E206,parent_events!$B$2:$B$56,parent_events!$D$2:$D$56,"NA")</f>
        <v>2024</v>
      </c>
      <c r="H206">
        <f>_xlfn.XLOOKUP($E206,parent_events!$B$2:$B$56,parent_events!$E$2:$E$56,"NA")</f>
        <v>6</v>
      </c>
      <c r="I206">
        <f>_xlfn.XLOOKUP($E206,parent_events!$B$2:$B$56,parent_events!$F$2:$F$56,"NA")</f>
        <v>4</v>
      </c>
      <c r="J206">
        <f>_xlfn.XLOOKUP($E206,parent_events!$B$2:$B$56,parent_events!$G$2:$G$56,"NA")</f>
        <v>3</v>
      </c>
      <c r="K206" t="str">
        <f>_xlfn.XLOOKUP($E206,parent_events!$B$2:$B$56,parent_events!$H$2:$H$56,"NA")</f>
        <v>Rot (1 min)</v>
      </c>
      <c r="L206" t="str">
        <f>_xlfn.XLOOKUP($E206,parent_events!$B$2:$B$56,parent_events!$I$2:$I$56,"NA")</f>
        <v>"3 replicates of 1 minute kick samples"</v>
      </c>
      <c r="M206">
        <f>_xlfn.XLOOKUP($E206,parent_events!$B$2:$B$56,parent_events!$J$2:$J$56,"NA")</f>
        <v>1</v>
      </c>
      <c r="N206" s="23" t="str">
        <f>_xlfn.XLOOKUP($E206,parent_events!$B$2:$B$56,parent_events!$K$2:$K$56,"NA")</f>
        <v>decimalMinute</v>
      </c>
      <c r="P206" t="str">
        <f>_xlfn.XLOOKUP($E206,parent_events!$B$2:$B$56,parent_events!$L$2:$L$56,"NA")</f>
        <v>Stor-Drakstsjoen_st1</v>
      </c>
      <c r="Q206" t="str">
        <f>_xlfn.XLOOKUP($P206,localities!$B$2:$B$49,localities!$C$2:$C$49,"NA")</f>
        <v>Stor-Drakstsjøen</v>
      </c>
      <c r="R206">
        <f>_xlfn.XLOOKUP($P206,localities!$B$2:$B$49,localities!$D$2:$D$49,"NA")</f>
        <v>1</v>
      </c>
      <c r="S206">
        <f>_xlfn.XLOOKUP($P206,localities!$B$2:$B$49,localities!$E$2:$E$49,"NA")</f>
        <v>63.286461099999997</v>
      </c>
      <c r="T206">
        <f>_xlfn.XLOOKUP($P206,localities!$B$2:$B$49,localities!$F$2:$F$49,"NA")</f>
        <v>10.802471300000001</v>
      </c>
      <c r="U206" t="str">
        <f>_xlfn.XLOOKUP($P206,localities!$B$2:$B$49,localities!$G$2:$G$49,"NA")</f>
        <v>WGS84</v>
      </c>
      <c r="V206">
        <f>_xlfn.XLOOKUP($P206,localities!$B$2:$B$49,localities!$H$2:$H$49,"NA")</f>
        <v>5</v>
      </c>
      <c r="W206" t="str">
        <f>_xlfn.XLOOKUP($P206,localities!$B$2:$B$49,localities!$I$2:$I$49,"NA")</f>
        <v>NOR</v>
      </c>
      <c r="X206" t="str">
        <f>_xlfn.XLOOKUP($P206,localities!$B$2:$B$49,localities!$J$2:$J$49,"NA")</f>
        <v>Norway</v>
      </c>
      <c r="Y206" t="str">
        <f>_xlfn.XLOOKUP($P206,localities!$B$2:$B$49,localities!$K$2:$K$49,"NA")</f>
        <v>Sør-Trøndelag</v>
      </c>
      <c r="Z206" t="str">
        <f>_xlfn.XLOOKUP($P206,localities!$B$2:$B$49,localities!$L$2:$L$49,"NA")</f>
        <v>Selbu</v>
      </c>
    </row>
    <row r="207" spans="2:26" x14ac:dyDescent="0.3">
      <c r="B207" t="s">
        <v>263</v>
      </c>
      <c r="C207" s="23">
        <v>1</v>
      </c>
      <c r="E207" t="s">
        <v>221</v>
      </c>
      <c r="F207" s="19">
        <f>_xlfn.XLOOKUP($E207,parent_events!$B$2:$B$56,parent_events!$C$2:$C$56,"NA")</f>
        <v>45461</v>
      </c>
      <c r="G207">
        <f>_xlfn.XLOOKUP($E207,parent_events!$B$2:$B$56,parent_events!$D$2:$D$56,"NA")</f>
        <v>2024</v>
      </c>
      <c r="H207">
        <f>_xlfn.XLOOKUP($E207,parent_events!$B$2:$B$56,parent_events!$E$2:$E$56,"NA")</f>
        <v>6</v>
      </c>
      <c r="I207">
        <f>_xlfn.XLOOKUP($E207,parent_events!$B$2:$B$56,parent_events!$F$2:$F$56,"NA")</f>
        <v>18</v>
      </c>
      <c r="J207">
        <f>_xlfn.XLOOKUP($E207,parent_events!$B$2:$B$56,parent_events!$G$2:$G$56,"NA")</f>
        <v>4</v>
      </c>
      <c r="K207" t="str">
        <f>_xlfn.XLOOKUP($E207,parent_events!$B$2:$B$56,parent_events!$H$2:$H$56,"NA")</f>
        <v>Rot (1 min)</v>
      </c>
      <c r="L207" t="str">
        <f>_xlfn.XLOOKUP($E207,parent_events!$B$2:$B$56,parent_events!$I$2:$I$56,"NA")</f>
        <v>"3 replicates of 1 minute kick samples"</v>
      </c>
      <c r="M207">
        <f>_xlfn.XLOOKUP($E207,parent_events!$B$2:$B$56,parent_events!$J$2:$J$56,"NA")</f>
        <v>1</v>
      </c>
      <c r="N207" s="23" t="str">
        <f>_xlfn.XLOOKUP($E207,parent_events!$B$2:$B$56,parent_events!$K$2:$K$56,"NA")</f>
        <v>decimalMinute</v>
      </c>
      <c r="P207" t="str">
        <f>_xlfn.XLOOKUP($E207,parent_events!$B$2:$B$56,parent_events!$L$2:$L$56,"NA")</f>
        <v>Roksetvatnet_st1</v>
      </c>
      <c r="Q207" t="str">
        <f>_xlfn.XLOOKUP($P207,localities!$B$2:$B$49,localities!$C$2:$C$49,"NA")</f>
        <v>Roksetvatnet</v>
      </c>
      <c r="R207">
        <f>_xlfn.XLOOKUP($P207,localities!$B$2:$B$49,localities!$D$2:$D$49,"NA")</f>
        <v>1</v>
      </c>
      <c r="S207">
        <f>_xlfn.XLOOKUP($P207,localities!$B$2:$B$49,localities!$E$2:$E$49,"NA")</f>
        <v>63.654024200000002</v>
      </c>
      <c r="T207">
        <f>_xlfn.XLOOKUP($P207,localities!$B$2:$B$49,localities!$F$2:$F$49,"NA")</f>
        <v>10.066431400000001</v>
      </c>
      <c r="U207" t="str">
        <f>_xlfn.XLOOKUP($P207,localities!$B$2:$B$49,localities!$G$2:$G$49,"NA")</f>
        <v>WGS84</v>
      </c>
      <c r="V207">
        <f>_xlfn.XLOOKUP($P207,localities!$B$2:$B$49,localities!$H$2:$H$49,"NA")</f>
        <v>5</v>
      </c>
      <c r="W207" t="str">
        <f>_xlfn.XLOOKUP($P207,localities!$B$2:$B$49,localities!$I$2:$I$49,"NA")</f>
        <v>NOR</v>
      </c>
      <c r="X207" t="str">
        <f>_xlfn.XLOOKUP($P207,localities!$B$2:$B$49,localities!$J$2:$J$49,"NA")</f>
        <v>Norway</v>
      </c>
      <c r="Y207" t="str">
        <f>_xlfn.XLOOKUP($P207,localities!$B$2:$B$49,localities!$K$2:$K$49,"NA")</f>
        <v>Sør-Trøndelag</v>
      </c>
      <c r="Z207" t="str">
        <f>_xlfn.XLOOKUP($P207,localities!$B$2:$B$49,localities!$L$2:$L$49,"NA")</f>
        <v>Indre Fosen</v>
      </c>
    </row>
    <row r="208" spans="2:26" x14ac:dyDescent="0.3">
      <c r="B208" t="s">
        <v>287</v>
      </c>
      <c r="C208" s="23">
        <v>2</v>
      </c>
      <c r="E208" t="s">
        <v>221</v>
      </c>
      <c r="F208" s="19">
        <f>_xlfn.XLOOKUP($E208,parent_events!$B$2:$B$56,parent_events!$C$2:$C$56,"NA")</f>
        <v>45461</v>
      </c>
      <c r="G208">
        <f>_xlfn.XLOOKUP($E208,parent_events!$B$2:$B$56,parent_events!$D$2:$D$56,"NA")</f>
        <v>2024</v>
      </c>
      <c r="H208">
        <f>_xlfn.XLOOKUP($E208,parent_events!$B$2:$B$56,parent_events!$E$2:$E$56,"NA")</f>
        <v>6</v>
      </c>
      <c r="I208">
        <f>_xlfn.XLOOKUP($E208,parent_events!$B$2:$B$56,parent_events!$F$2:$F$56,"NA")</f>
        <v>18</v>
      </c>
      <c r="J208">
        <f>_xlfn.XLOOKUP($E208,parent_events!$B$2:$B$56,parent_events!$G$2:$G$56,"NA")</f>
        <v>4</v>
      </c>
      <c r="K208" t="str">
        <f>_xlfn.XLOOKUP($E208,parent_events!$B$2:$B$56,parent_events!$H$2:$H$56,"NA")</f>
        <v>Rot (1 min)</v>
      </c>
      <c r="L208" t="str">
        <f>_xlfn.XLOOKUP($E208,parent_events!$B$2:$B$56,parent_events!$I$2:$I$56,"NA")</f>
        <v>"3 replicates of 1 minute kick samples"</v>
      </c>
      <c r="M208">
        <f>_xlfn.XLOOKUP($E208,parent_events!$B$2:$B$56,parent_events!$J$2:$J$56,"NA")</f>
        <v>1</v>
      </c>
      <c r="N208" s="23" t="str">
        <f>_xlfn.XLOOKUP($E208,parent_events!$B$2:$B$56,parent_events!$K$2:$K$56,"NA")</f>
        <v>decimalMinute</v>
      </c>
      <c r="P208" t="str">
        <f>_xlfn.XLOOKUP($E208,parent_events!$B$2:$B$56,parent_events!$L$2:$L$56,"NA")</f>
        <v>Roksetvatnet_st1</v>
      </c>
      <c r="Q208" t="str">
        <f>_xlfn.XLOOKUP($P208,localities!$B$2:$B$49,localities!$C$2:$C$49,"NA")</f>
        <v>Roksetvatnet</v>
      </c>
      <c r="R208">
        <f>_xlfn.XLOOKUP($P208,localities!$B$2:$B$49,localities!$D$2:$D$49,"NA")</f>
        <v>1</v>
      </c>
      <c r="S208">
        <f>_xlfn.XLOOKUP($P208,localities!$B$2:$B$49,localities!$E$2:$E$49,"NA")</f>
        <v>63.654024200000002</v>
      </c>
      <c r="T208">
        <f>_xlfn.XLOOKUP($P208,localities!$B$2:$B$49,localities!$F$2:$F$49,"NA")</f>
        <v>10.066431400000001</v>
      </c>
      <c r="U208" t="str">
        <f>_xlfn.XLOOKUP($P208,localities!$B$2:$B$49,localities!$G$2:$G$49,"NA")</f>
        <v>WGS84</v>
      </c>
      <c r="V208">
        <f>_xlfn.XLOOKUP($P208,localities!$B$2:$B$49,localities!$H$2:$H$49,"NA")</f>
        <v>5</v>
      </c>
      <c r="W208" t="str">
        <f>_xlfn.XLOOKUP($P208,localities!$B$2:$B$49,localities!$I$2:$I$49,"NA")</f>
        <v>NOR</v>
      </c>
      <c r="X208" t="str">
        <f>_xlfn.XLOOKUP($P208,localities!$B$2:$B$49,localities!$J$2:$J$49,"NA")</f>
        <v>Norway</v>
      </c>
      <c r="Y208" t="str">
        <f>_xlfn.XLOOKUP($P208,localities!$B$2:$B$49,localities!$K$2:$K$49,"NA")</f>
        <v>Sør-Trøndelag</v>
      </c>
      <c r="Z208" t="str">
        <f>_xlfn.XLOOKUP($P208,localities!$B$2:$B$49,localities!$L$2:$L$49,"NA")</f>
        <v>Indre Fosen</v>
      </c>
    </row>
    <row r="209" spans="2:26" x14ac:dyDescent="0.3">
      <c r="B209" t="s">
        <v>288</v>
      </c>
      <c r="C209" s="23">
        <v>3</v>
      </c>
      <c r="E209" t="s">
        <v>221</v>
      </c>
      <c r="F209" s="19">
        <f>_xlfn.XLOOKUP($E209,parent_events!$B$2:$B$56,parent_events!$C$2:$C$56,"NA")</f>
        <v>45461</v>
      </c>
      <c r="G209">
        <f>_xlfn.XLOOKUP($E209,parent_events!$B$2:$B$56,parent_events!$D$2:$D$56,"NA")</f>
        <v>2024</v>
      </c>
      <c r="H209">
        <f>_xlfn.XLOOKUP($E209,parent_events!$B$2:$B$56,parent_events!$E$2:$E$56,"NA")</f>
        <v>6</v>
      </c>
      <c r="I209">
        <f>_xlfn.XLOOKUP($E209,parent_events!$B$2:$B$56,parent_events!$F$2:$F$56,"NA")</f>
        <v>18</v>
      </c>
      <c r="J209">
        <f>_xlfn.XLOOKUP($E209,parent_events!$B$2:$B$56,parent_events!$G$2:$G$56,"NA")</f>
        <v>4</v>
      </c>
      <c r="K209" t="str">
        <f>_xlfn.XLOOKUP($E209,parent_events!$B$2:$B$56,parent_events!$H$2:$H$56,"NA")</f>
        <v>Rot (1 min)</v>
      </c>
      <c r="L209" t="str">
        <f>_xlfn.XLOOKUP($E209,parent_events!$B$2:$B$56,parent_events!$I$2:$I$56,"NA")</f>
        <v>"3 replicates of 1 minute kick samples"</v>
      </c>
      <c r="M209">
        <f>_xlfn.XLOOKUP($E209,parent_events!$B$2:$B$56,parent_events!$J$2:$J$56,"NA")</f>
        <v>1</v>
      </c>
      <c r="N209" s="23" t="str">
        <f>_xlfn.XLOOKUP($E209,parent_events!$B$2:$B$56,parent_events!$K$2:$K$56,"NA")</f>
        <v>decimalMinute</v>
      </c>
      <c r="P209" t="str">
        <f>_xlfn.XLOOKUP($E209,parent_events!$B$2:$B$56,parent_events!$L$2:$L$56,"NA")</f>
        <v>Roksetvatnet_st1</v>
      </c>
      <c r="Q209" t="str">
        <f>_xlfn.XLOOKUP($P209,localities!$B$2:$B$49,localities!$C$2:$C$49,"NA")</f>
        <v>Roksetvatnet</v>
      </c>
      <c r="R209">
        <f>_xlfn.XLOOKUP($P209,localities!$B$2:$B$49,localities!$D$2:$D$49,"NA")</f>
        <v>1</v>
      </c>
      <c r="S209">
        <f>_xlfn.XLOOKUP($P209,localities!$B$2:$B$49,localities!$E$2:$E$49,"NA")</f>
        <v>63.654024200000002</v>
      </c>
      <c r="T209">
        <f>_xlfn.XLOOKUP($P209,localities!$B$2:$B$49,localities!$F$2:$F$49,"NA")</f>
        <v>10.066431400000001</v>
      </c>
      <c r="U209" t="str">
        <f>_xlfn.XLOOKUP($P209,localities!$B$2:$B$49,localities!$G$2:$G$49,"NA")</f>
        <v>WGS84</v>
      </c>
      <c r="V209">
        <f>_xlfn.XLOOKUP($P209,localities!$B$2:$B$49,localities!$H$2:$H$49,"NA")</f>
        <v>5</v>
      </c>
      <c r="W209" t="str">
        <f>_xlfn.XLOOKUP($P209,localities!$B$2:$B$49,localities!$I$2:$I$49,"NA")</f>
        <v>NOR</v>
      </c>
      <c r="X209" t="str">
        <f>_xlfn.XLOOKUP($P209,localities!$B$2:$B$49,localities!$J$2:$J$49,"NA")</f>
        <v>Norway</v>
      </c>
      <c r="Y209" t="str">
        <f>_xlfn.XLOOKUP($P209,localities!$B$2:$B$49,localities!$K$2:$K$49,"NA")</f>
        <v>Sør-Trøndelag</v>
      </c>
      <c r="Z209" t="str">
        <f>_xlfn.XLOOKUP($P209,localities!$B$2:$B$49,localities!$L$2:$L$49,"NA")</f>
        <v>Indre Fosen</v>
      </c>
    </row>
    <row r="210" spans="2:26" x14ac:dyDescent="0.3">
      <c r="B210" t="s">
        <v>264</v>
      </c>
      <c r="C210" s="23">
        <v>1</v>
      </c>
      <c r="E210" t="s">
        <v>222</v>
      </c>
      <c r="F210" s="19">
        <f>_xlfn.XLOOKUP($E210,parent_events!$B$2:$B$56,parent_events!$C$2:$C$56,"NA")</f>
        <v>45461</v>
      </c>
      <c r="G210">
        <f>_xlfn.XLOOKUP($E210,parent_events!$B$2:$B$56,parent_events!$D$2:$D$56,"NA")</f>
        <v>2024</v>
      </c>
      <c r="H210">
        <f>_xlfn.XLOOKUP($E210,parent_events!$B$2:$B$56,parent_events!$E$2:$E$56,"NA")</f>
        <v>6</v>
      </c>
      <c r="I210">
        <f>_xlfn.XLOOKUP($E210,parent_events!$B$2:$B$56,parent_events!$F$2:$F$56,"NA")</f>
        <v>18</v>
      </c>
      <c r="J210">
        <f>_xlfn.XLOOKUP($E210,parent_events!$B$2:$B$56,parent_events!$G$2:$G$56,"NA")</f>
        <v>4</v>
      </c>
      <c r="K210" t="str">
        <f>_xlfn.XLOOKUP($E210,parent_events!$B$2:$B$56,parent_events!$H$2:$H$56,"NA")</f>
        <v>Rot (1 min)</v>
      </c>
      <c r="L210" t="str">
        <f>_xlfn.XLOOKUP($E210,parent_events!$B$2:$B$56,parent_events!$I$2:$I$56,"NA")</f>
        <v>"3 replicates of 1 minute kick samples"</v>
      </c>
      <c r="M210">
        <f>_xlfn.XLOOKUP($E210,parent_events!$B$2:$B$56,parent_events!$J$2:$J$56,"NA")</f>
        <v>1</v>
      </c>
      <c r="N210" s="23" t="str">
        <f>_xlfn.XLOOKUP($E210,parent_events!$B$2:$B$56,parent_events!$K$2:$K$56,"NA")</f>
        <v>decimalMinute</v>
      </c>
      <c r="P210" t="str">
        <f>_xlfn.XLOOKUP($E210,parent_events!$B$2:$B$56,parent_events!$L$2:$L$56,"NA")</f>
        <v>Barsetvatnet_st1</v>
      </c>
      <c r="Q210" t="str">
        <f>_xlfn.XLOOKUP($P210,localities!$B$2:$B$49,localities!$C$2:$C$49,"NA")</f>
        <v>Barsetvatnet</v>
      </c>
      <c r="R210">
        <f>_xlfn.XLOOKUP($P210,localities!$B$2:$B$49,localities!$D$2:$D$49,"NA")</f>
        <v>1</v>
      </c>
      <c r="S210">
        <f>_xlfn.XLOOKUP($P210,localities!$B$2:$B$49,localities!$E$2:$E$49,"NA")</f>
        <v>63.797785500000003</v>
      </c>
      <c r="T210">
        <f>_xlfn.XLOOKUP($P210,localities!$B$2:$B$49,localities!$F$2:$F$49,"NA")</f>
        <v>9.8281852999999995</v>
      </c>
      <c r="U210" t="str">
        <f>_xlfn.XLOOKUP($P210,localities!$B$2:$B$49,localities!$G$2:$G$49,"NA")</f>
        <v>WGS84</v>
      </c>
      <c r="V210">
        <f>_xlfn.XLOOKUP($P210,localities!$B$2:$B$49,localities!$H$2:$H$49,"NA")</f>
        <v>5</v>
      </c>
      <c r="W210" t="str">
        <f>_xlfn.XLOOKUP($P210,localities!$B$2:$B$49,localities!$I$2:$I$49,"NA")</f>
        <v>NOR</v>
      </c>
      <c r="X210" t="str">
        <f>_xlfn.XLOOKUP($P210,localities!$B$2:$B$49,localities!$J$2:$J$49,"NA")</f>
        <v>Norway</v>
      </c>
      <c r="Y210" t="str">
        <f>_xlfn.XLOOKUP($P210,localities!$B$2:$B$49,localities!$K$2:$K$49,"NA")</f>
        <v>Sør-Trøndelag</v>
      </c>
      <c r="Z210" t="str">
        <f>_xlfn.XLOOKUP($P210,localities!$B$2:$B$49,localities!$L$2:$L$49,"NA")</f>
        <v>Ørland</v>
      </c>
    </row>
    <row r="211" spans="2:26" x14ac:dyDescent="0.3">
      <c r="B211" t="s">
        <v>289</v>
      </c>
      <c r="C211" s="23">
        <v>2</v>
      </c>
      <c r="E211" t="s">
        <v>222</v>
      </c>
      <c r="F211" s="19">
        <f>_xlfn.XLOOKUP($E211,parent_events!$B$2:$B$56,parent_events!$C$2:$C$56,"NA")</f>
        <v>45461</v>
      </c>
      <c r="G211">
        <f>_xlfn.XLOOKUP($E211,parent_events!$B$2:$B$56,parent_events!$D$2:$D$56,"NA")</f>
        <v>2024</v>
      </c>
      <c r="H211">
        <f>_xlfn.XLOOKUP($E211,parent_events!$B$2:$B$56,parent_events!$E$2:$E$56,"NA")</f>
        <v>6</v>
      </c>
      <c r="I211">
        <f>_xlfn.XLOOKUP($E211,parent_events!$B$2:$B$56,parent_events!$F$2:$F$56,"NA")</f>
        <v>18</v>
      </c>
      <c r="J211">
        <f>_xlfn.XLOOKUP($E211,parent_events!$B$2:$B$56,parent_events!$G$2:$G$56,"NA")</f>
        <v>4</v>
      </c>
      <c r="K211" t="str">
        <f>_xlfn.XLOOKUP($E211,parent_events!$B$2:$B$56,parent_events!$H$2:$H$56,"NA")</f>
        <v>Rot (1 min)</v>
      </c>
      <c r="L211" t="str">
        <f>_xlfn.XLOOKUP($E211,parent_events!$B$2:$B$56,parent_events!$I$2:$I$56,"NA")</f>
        <v>"3 replicates of 1 minute kick samples"</v>
      </c>
      <c r="M211">
        <f>_xlfn.XLOOKUP($E211,parent_events!$B$2:$B$56,parent_events!$J$2:$J$56,"NA")</f>
        <v>1</v>
      </c>
      <c r="N211" s="23" t="str">
        <f>_xlfn.XLOOKUP($E211,parent_events!$B$2:$B$56,parent_events!$K$2:$K$56,"NA")</f>
        <v>decimalMinute</v>
      </c>
      <c r="P211" t="str">
        <f>_xlfn.XLOOKUP($E211,parent_events!$B$2:$B$56,parent_events!$L$2:$L$56,"NA")</f>
        <v>Barsetvatnet_st1</v>
      </c>
      <c r="Q211" t="str">
        <f>_xlfn.XLOOKUP($P211,localities!$B$2:$B$49,localities!$C$2:$C$49,"NA")</f>
        <v>Barsetvatnet</v>
      </c>
      <c r="R211">
        <f>_xlfn.XLOOKUP($P211,localities!$B$2:$B$49,localities!$D$2:$D$49,"NA")</f>
        <v>1</v>
      </c>
      <c r="S211">
        <f>_xlfn.XLOOKUP($P211,localities!$B$2:$B$49,localities!$E$2:$E$49,"NA")</f>
        <v>63.797785500000003</v>
      </c>
      <c r="T211">
        <f>_xlfn.XLOOKUP($P211,localities!$B$2:$B$49,localities!$F$2:$F$49,"NA")</f>
        <v>9.8281852999999995</v>
      </c>
      <c r="U211" t="str">
        <f>_xlfn.XLOOKUP($P211,localities!$B$2:$B$49,localities!$G$2:$G$49,"NA")</f>
        <v>WGS84</v>
      </c>
      <c r="V211">
        <f>_xlfn.XLOOKUP($P211,localities!$B$2:$B$49,localities!$H$2:$H$49,"NA")</f>
        <v>5</v>
      </c>
      <c r="W211" t="str">
        <f>_xlfn.XLOOKUP($P211,localities!$B$2:$B$49,localities!$I$2:$I$49,"NA")</f>
        <v>NOR</v>
      </c>
      <c r="X211" t="str">
        <f>_xlfn.XLOOKUP($P211,localities!$B$2:$B$49,localities!$J$2:$J$49,"NA")</f>
        <v>Norway</v>
      </c>
      <c r="Y211" t="str">
        <f>_xlfn.XLOOKUP($P211,localities!$B$2:$B$49,localities!$K$2:$K$49,"NA")</f>
        <v>Sør-Trøndelag</v>
      </c>
      <c r="Z211" t="str">
        <f>_xlfn.XLOOKUP($P211,localities!$B$2:$B$49,localities!$L$2:$L$49,"NA")</f>
        <v>Ørland</v>
      </c>
    </row>
    <row r="212" spans="2:26" x14ac:dyDescent="0.3">
      <c r="B212" t="s">
        <v>290</v>
      </c>
      <c r="C212" s="23">
        <v>3</v>
      </c>
      <c r="E212" t="s">
        <v>222</v>
      </c>
      <c r="F212" s="19">
        <f>_xlfn.XLOOKUP($E212,parent_events!$B$2:$B$56,parent_events!$C$2:$C$56,"NA")</f>
        <v>45461</v>
      </c>
      <c r="G212">
        <f>_xlfn.XLOOKUP($E212,parent_events!$B$2:$B$56,parent_events!$D$2:$D$56,"NA")</f>
        <v>2024</v>
      </c>
      <c r="H212">
        <f>_xlfn.XLOOKUP($E212,parent_events!$B$2:$B$56,parent_events!$E$2:$E$56,"NA")</f>
        <v>6</v>
      </c>
      <c r="I212">
        <f>_xlfn.XLOOKUP($E212,parent_events!$B$2:$B$56,parent_events!$F$2:$F$56,"NA")</f>
        <v>18</v>
      </c>
      <c r="J212">
        <f>_xlfn.XLOOKUP($E212,parent_events!$B$2:$B$56,parent_events!$G$2:$G$56,"NA")</f>
        <v>4</v>
      </c>
      <c r="K212" t="str">
        <f>_xlfn.XLOOKUP($E212,parent_events!$B$2:$B$56,parent_events!$H$2:$H$56,"NA")</f>
        <v>Rot (1 min)</v>
      </c>
      <c r="L212" t="str">
        <f>_xlfn.XLOOKUP($E212,parent_events!$B$2:$B$56,parent_events!$I$2:$I$56,"NA")</f>
        <v>"3 replicates of 1 minute kick samples"</v>
      </c>
      <c r="M212">
        <f>_xlfn.XLOOKUP($E212,parent_events!$B$2:$B$56,parent_events!$J$2:$J$56,"NA")</f>
        <v>1</v>
      </c>
      <c r="N212" s="23" t="str">
        <f>_xlfn.XLOOKUP($E212,parent_events!$B$2:$B$56,parent_events!$K$2:$K$56,"NA")</f>
        <v>decimalMinute</v>
      </c>
      <c r="P212" t="str">
        <f>_xlfn.XLOOKUP($E212,parent_events!$B$2:$B$56,parent_events!$L$2:$L$56,"NA")</f>
        <v>Barsetvatnet_st1</v>
      </c>
      <c r="Q212" t="str">
        <f>_xlfn.XLOOKUP($P212,localities!$B$2:$B$49,localities!$C$2:$C$49,"NA")</f>
        <v>Barsetvatnet</v>
      </c>
      <c r="R212">
        <f>_xlfn.XLOOKUP($P212,localities!$B$2:$B$49,localities!$D$2:$D$49,"NA")</f>
        <v>1</v>
      </c>
      <c r="S212">
        <f>_xlfn.XLOOKUP($P212,localities!$B$2:$B$49,localities!$E$2:$E$49,"NA")</f>
        <v>63.797785500000003</v>
      </c>
      <c r="T212">
        <f>_xlfn.XLOOKUP($P212,localities!$B$2:$B$49,localities!$F$2:$F$49,"NA")</f>
        <v>9.8281852999999995</v>
      </c>
      <c r="U212" t="str">
        <f>_xlfn.XLOOKUP($P212,localities!$B$2:$B$49,localities!$G$2:$G$49,"NA")</f>
        <v>WGS84</v>
      </c>
      <c r="V212">
        <f>_xlfn.XLOOKUP($P212,localities!$B$2:$B$49,localities!$H$2:$H$49,"NA")</f>
        <v>5</v>
      </c>
      <c r="W212" t="str">
        <f>_xlfn.XLOOKUP($P212,localities!$B$2:$B$49,localities!$I$2:$I$49,"NA")</f>
        <v>NOR</v>
      </c>
      <c r="X212" t="str">
        <f>_xlfn.XLOOKUP($P212,localities!$B$2:$B$49,localities!$J$2:$J$49,"NA")</f>
        <v>Norway</v>
      </c>
      <c r="Y212" t="str">
        <f>_xlfn.XLOOKUP($P212,localities!$B$2:$B$49,localities!$K$2:$K$49,"NA")</f>
        <v>Sør-Trøndelag</v>
      </c>
      <c r="Z212" t="str">
        <f>_xlfn.XLOOKUP($P212,localities!$B$2:$B$49,localities!$L$2:$L$49,"NA")</f>
        <v>Ørland</v>
      </c>
    </row>
    <row r="213" spans="2:26" x14ac:dyDescent="0.3">
      <c r="B213" t="s">
        <v>265</v>
      </c>
      <c r="C213" s="23">
        <v>1</v>
      </c>
      <c r="E213" t="s">
        <v>223</v>
      </c>
      <c r="F213" s="19">
        <f>_xlfn.XLOOKUP($E213,parent_events!$B$2:$B$56,parent_events!$C$2:$C$56,"NA")</f>
        <v>45461</v>
      </c>
      <c r="G213">
        <f>_xlfn.XLOOKUP($E213,parent_events!$B$2:$B$56,parent_events!$D$2:$D$56,"NA")</f>
        <v>2024</v>
      </c>
      <c r="H213">
        <f>_xlfn.XLOOKUP($E213,parent_events!$B$2:$B$56,parent_events!$E$2:$E$56,"NA")</f>
        <v>6</v>
      </c>
      <c r="I213">
        <f>_xlfn.XLOOKUP($E213,parent_events!$B$2:$B$56,parent_events!$F$2:$F$56,"NA")</f>
        <v>18</v>
      </c>
      <c r="J213">
        <f>_xlfn.XLOOKUP($E213,parent_events!$B$2:$B$56,parent_events!$G$2:$G$56,"NA")</f>
        <v>4</v>
      </c>
      <c r="K213" t="str">
        <f>_xlfn.XLOOKUP($E213,parent_events!$B$2:$B$56,parent_events!$H$2:$H$56,"NA")</f>
        <v>Rot (1 min)</v>
      </c>
      <c r="L213" t="str">
        <f>_xlfn.XLOOKUP($E213,parent_events!$B$2:$B$56,parent_events!$I$2:$I$56,"NA")</f>
        <v>"3 replicates of 1 minute kick samples"</v>
      </c>
      <c r="M213">
        <f>_xlfn.XLOOKUP($E213,parent_events!$B$2:$B$56,parent_events!$J$2:$J$56,"NA")</f>
        <v>1</v>
      </c>
      <c r="N213" s="23" t="str">
        <f>_xlfn.XLOOKUP($E213,parent_events!$B$2:$B$56,parent_events!$K$2:$K$56,"NA")</f>
        <v>decimalMinute</v>
      </c>
      <c r="P213" t="str">
        <f>_xlfn.XLOOKUP($E213,parent_events!$B$2:$B$56,parent_events!$L$2:$L$56,"NA")</f>
        <v>Gjoljavatnet_st1</v>
      </c>
      <c r="Q213" t="str">
        <f>_xlfn.XLOOKUP($P213,localities!$B$2:$B$49,localities!$C$2:$C$49,"NA")</f>
        <v>Gjøljavatnet</v>
      </c>
      <c r="R213">
        <f>_xlfn.XLOOKUP($P213,localities!$B$2:$B$49,localities!$D$2:$D$49,"NA")</f>
        <v>1</v>
      </c>
      <c r="S213">
        <f>_xlfn.XLOOKUP($P213,localities!$B$2:$B$49,localities!$E$2:$E$49,"NA")</f>
        <v>63.789260900000002</v>
      </c>
      <c r="T213">
        <f>_xlfn.XLOOKUP($P213,localities!$B$2:$B$49,localities!$F$2:$F$49,"NA")</f>
        <v>10.0251734</v>
      </c>
      <c r="U213" t="str">
        <f>_xlfn.XLOOKUP($P213,localities!$B$2:$B$49,localities!$G$2:$G$49,"NA")</f>
        <v>WGS84</v>
      </c>
      <c r="V213">
        <f>_xlfn.XLOOKUP($P213,localities!$B$2:$B$49,localities!$H$2:$H$49,"NA")</f>
        <v>5</v>
      </c>
      <c r="W213" t="str">
        <f>_xlfn.XLOOKUP($P213,localities!$B$2:$B$49,localities!$I$2:$I$49,"NA")</f>
        <v>NOR</v>
      </c>
      <c r="X213" t="str">
        <f>_xlfn.XLOOKUP($P213,localities!$B$2:$B$49,localities!$J$2:$J$49,"NA")</f>
        <v>Norway</v>
      </c>
      <c r="Y213" t="str">
        <f>_xlfn.XLOOKUP($P213,localities!$B$2:$B$49,localities!$K$2:$K$49,"NA")</f>
        <v>Sør-Trøndelag</v>
      </c>
      <c r="Z213" t="str">
        <f>_xlfn.XLOOKUP($P213,localities!$B$2:$B$49,localities!$L$2:$L$49,"NA")</f>
        <v>Indre Fosen</v>
      </c>
    </row>
    <row r="214" spans="2:26" x14ac:dyDescent="0.3">
      <c r="B214" t="s">
        <v>291</v>
      </c>
      <c r="C214" s="23">
        <v>2</v>
      </c>
      <c r="E214" t="s">
        <v>223</v>
      </c>
      <c r="F214" s="19">
        <f>_xlfn.XLOOKUP($E214,parent_events!$B$2:$B$56,parent_events!$C$2:$C$56,"NA")</f>
        <v>45461</v>
      </c>
      <c r="G214">
        <f>_xlfn.XLOOKUP($E214,parent_events!$B$2:$B$56,parent_events!$D$2:$D$56,"NA")</f>
        <v>2024</v>
      </c>
      <c r="H214">
        <f>_xlfn.XLOOKUP($E214,parent_events!$B$2:$B$56,parent_events!$E$2:$E$56,"NA")</f>
        <v>6</v>
      </c>
      <c r="I214">
        <f>_xlfn.XLOOKUP($E214,parent_events!$B$2:$B$56,parent_events!$F$2:$F$56,"NA")</f>
        <v>18</v>
      </c>
      <c r="J214">
        <f>_xlfn.XLOOKUP($E214,parent_events!$B$2:$B$56,parent_events!$G$2:$G$56,"NA")</f>
        <v>4</v>
      </c>
      <c r="K214" t="str">
        <f>_xlfn.XLOOKUP($E214,parent_events!$B$2:$B$56,parent_events!$H$2:$H$56,"NA")</f>
        <v>Rot (1 min)</v>
      </c>
      <c r="L214" t="str">
        <f>_xlfn.XLOOKUP($E214,parent_events!$B$2:$B$56,parent_events!$I$2:$I$56,"NA")</f>
        <v>"3 replicates of 1 minute kick samples"</v>
      </c>
      <c r="M214">
        <f>_xlfn.XLOOKUP($E214,parent_events!$B$2:$B$56,parent_events!$J$2:$J$56,"NA")</f>
        <v>1</v>
      </c>
      <c r="N214" s="23" t="str">
        <f>_xlfn.XLOOKUP($E214,parent_events!$B$2:$B$56,parent_events!$K$2:$K$56,"NA")</f>
        <v>decimalMinute</v>
      </c>
      <c r="P214" t="str">
        <f>_xlfn.XLOOKUP($E214,parent_events!$B$2:$B$56,parent_events!$L$2:$L$56,"NA")</f>
        <v>Gjoljavatnet_st1</v>
      </c>
      <c r="Q214" t="str">
        <f>_xlfn.XLOOKUP($P214,localities!$B$2:$B$49,localities!$C$2:$C$49,"NA")</f>
        <v>Gjøljavatnet</v>
      </c>
      <c r="R214">
        <f>_xlfn.XLOOKUP($P214,localities!$B$2:$B$49,localities!$D$2:$D$49,"NA")</f>
        <v>1</v>
      </c>
      <c r="S214">
        <f>_xlfn.XLOOKUP($P214,localities!$B$2:$B$49,localities!$E$2:$E$49,"NA")</f>
        <v>63.789260900000002</v>
      </c>
      <c r="T214">
        <f>_xlfn.XLOOKUP($P214,localities!$B$2:$B$49,localities!$F$2:$F$49,"NA")</f>
        <v>10.0251734</v>
      </c>
      <c r="U214" t="str">
        <f>_xlfn.XLOOKUP($P214,localities!$B$2:$B$49,localities!$G$2:$G$49,"NA")</f>
        <v>WGS84</v>
      </c>
      <c r="V214">
        <f>_xlfn.XLOOKUP($P214,localities!$B$2:$B$49,localities!$H$2:$H$49,"NA")</f>
        <v>5</v>
      </c>
      <c r="W214" t="str">
        <f>_xlfn.XLOOKUP($P214,localities!$B$2:$B$49,localities!$I$2:$I$49,"NA")</f>
        <v>NOR</v>
      </c>
      <c r="X214" t="str">
        <f>_xlfn.XLOOKUP($P214,localities!$B$2:$B$49,localities!$J$2:$J$49,"NA")</f>
        <v>Norway</v>
      </c>
      <c r="Y214" t="str">
        <f>_xlfn.XLOOKUP($P214,localities!$B$2:$B$49,localities!$K$2:$K$49,"NA")</f>
        <v>Sør-Trøndelag</v>
      </c>
      <c r="Z214" t="str">
        <f>_xlfn.XLOOKUP($P214,localities!$B$2:$B$49,localities!$L$2:$L$49,"NA")</f>
        <v>Indre Fosen</v>
      </c>
    </row>
    <row r="215" spans="2:26" x14ac:dyDescent="0.3">
      <c r="B215" t="s">
        <v>292</v>
      </c>
      <c r="C215" s="23">
        <v>3</v>
      </c>
      <c r="E215" t="s">
        <v>223</v>
      </c>
      <c r="F215" s="19">
        <f>_xlfn.XLOOKUP($E215,parent_events!$B$2:$B$56,parent_events!$C$2:$C$56,"NA")</f>
        <v>45461</v>
      </c>
      <c r="G215">
        <f>_xlfn.XLOOKUP($E215,parent_events!$B$2:$B$56,parent_events!$D$2:$D$56,"NA")</f>
        <v>2024</v>
      </c>
      <c r="H215">
        <f>_xlfn.XLOOKUP($E215,parent_events!$B$2:$B$56,parent_events!$E$2:$E$56,"NA")</f>
        <v>6</v>
      </c>
      <c r="I215">
        <f>_xlfn.XLOOKUP($E215,parent_events!$B$2:$B$56,parent_events!$F$2:$F$56,"NA")</f>
        <v>18</v>
      </c>
      <c r="J215">
        <f>_xlfn.XLOOKUP($E215,parent_events!$B$2:$B$56,parent_events!$G$2:$G$56,"NA")</f>
        <v>4</v>
      </c>
      <c r="K215" t="str">
        <f>_xlfn.XLOOKUP($E215,parent_events!$B$2:$B$56,parent_events!$H$2:$H$56,"NA")</f>
        <v>Rot (1 min)</v>
      </c>
      <c r="L215" t="str">
        <f>_xlfn.XLOOKUP($E215,parent_events!$B$2:$B$56,parent_events!$I$2:$I$56,"NA")</f>
        <v>"3 replicates of 1 minute kick samples"</v>
      </c>
      <c r="M215">
        <f>_xlfn.XLOOKUP($E215,parent_events!$B$2:$B$56,parent_events!$J$2:$J$56,"NA")</f>
        <v>1</v>
      </c>
      <c r="N215" s="23" t="str">
        <f>_xlfn.XLOOKUP($E215,parent_events!$B$2:$B$56,parent_events!$K$2:$K$56,"NA")</f>
        <v>decimalMinute</v>
      </c>
      <c r="P215" t="str">
        <f>_xlfn.XLOOKUP($E215,parent_events!$B$2:$B$56,parent_events!$L$2:$L$56,"NA")</f>
        <v>Gjoljavatnet_st1</v>
      </c>
      <c r="Q215" t="str">
        <f>_xlfn.XLOOKUP($P215,localities!$B$2:$B$49,localities!$C$2:$C$49,"NA")</f>
        <v>Gjøljavatnet</v>
      </c>
      <c r="R215">
        <f>_xlfn.XLOOKUP($P215,localities!$B$2:$B$49,localities!$D$2:$D$49,"NA")</f>
        <v>1</v>
      </c>
      <c r="S215">
        <f>_xlfn.XLOOKUP($P215,localities!$B$2:$B$49,localities!$E$2:$E$49,"NA")</f>
        <v>63.789260900000002</v>
      </c>
      <c r="T215">
        <f>_xlfn.XLOOKUP($P215,localities!$B$2:$B$49,localities!$F$2:$F$49,"NA")</f>
        <v>10.0251734</v>
      </c>
      <c r="U215" t="str">
        <f>_xlfn.XLOOKUP($P215,localities!$B$2:$B$49,localities!$G$2:$G$49,"NA")</f>
        <v>WGS84</v>
      </c>
      <c r="V215">
        <f>_xlfn.XLOOKUP($P215,localities!$B$2:$B$49,localities!$H$2:$H$49,"NA")</f>
        <v>5</v>
      </c>
      <c r="W215" t="str">
        <f>_xlfn.XLOOKUP($P215,localities!$B$2:$B$49,localities!$I$2:$I$49,"NA")</f>
        <v>NOR</v>
      </c>
      <c r="X215" t="str">
        <f>_xlfn.XLOOKUP($P215,localities!$B$2:$B$49,localities!$J$2:$J$49,"NA")</f>
        <v>Norway</v>
      </c>
      <c r="Y215" t="str">
        <f>_xlfn.XLOOKUP($P215,localities!$B$2:$B$49,localities!$K$2:$K$49,"NA")</f>
        <v>Sør-Trøndelag</v>
      </c>
      <c r="Z215" t="str">
        <f>_xlfn.XLOOKUP($P215,localities!$B$2:$B$49,localities!$L$2:$L$49,"NA")</f>
        <v>Indre Fosen</v>
      </c>
    </row>
    <row r="216" spans="2:26" x14ac:dyDescent="0.3">
      <c r="B216" t="s">
        <v>266</v>
      </c>
      <c r="C216" s="23">
        <v>1</v>
      </c>
      <c r="E216" t="s">
        <v>224</v>
      </c>
      <c r="F216" s="19">
        <f>_xlfn.XLOOKUP($E216,parent_events!$B$2:$B$56,parent_events!$C$2:$C$56,"NA")</f>
        <v>45461</v>
      </c>
      <c r="G216">
        <f>_xlfn.XLOOKUP($E216,parent_events!$B$2:$B$56,parent_events!$D$2:$D$56,"NA")</f>
        <v>2024</v>
      </c>
      <c r="H216">
        <f>_xlfn.XLOOKUP($E216,parent_events!$B$2:$B$56,parent_events!$E$2:$E$56,"NA")</f>
        <v>6</v>
      </c>
      <c r="I216">
        <f>_xlfn.XLOOKUP($E216,parent_events!$B$2:$B$56,parent_events!$F$2:$F$56,"NA")</f>
        <v>18</v>
      </c>
      <c r="J216">
        <f>_xlfn.XLOOKUP($E216,parent_events!$B$2:$B$56,parent_events!$G$2:$G$56,"NA")</f>
        <v>4</v>
      </c>
      <c r="K216" t="str">
        <f>_xlfn.XLOOKUP($E216,parent_events!$B$2:$B$56,parent_events!$H$2:$H$56,"NA")</f>
        <v>Rot (1 min)</v>
      </c>
      <c r="L216" t="str">
        <f>_xlfn.XLOOKUP($E216,parent_events!$B$2:$B$56,parent_events!$I$2:$I$56,"NA")</f>
        <v>"3 replicates of 1 minute kick samples"</v>
      </c>
      <c r="M216">
        <f>_xlfn.XLOOKUP($E216,parent_events!$B$2:$B$56,parent_events!$J$2:$J$56,"NA")</f>
        <v>1</v>
      </c>
      <c r="N216" s="23" t="str">
        <f>_xlfn.XLOOKUP($E216,parent_events!$B$2:$B$56,parent_events!$K$2:$K$56,"NA")</f>
        <v>decimalMinute</v>
      </c>
      <c r="P216" t="str">
        <f>_xlfn.XLOOKUP($E216,parent_events!$B$2:$B$56,parent_events!$L$2:$L$56,"NA")</f>
        <v>Storvatnet_st1</v>
      </c>
      <c r="Q216" t="str">
        <f>_xlfn.XLOOKUP($P216,localities!$B$2:$B$49,localities!$C$2:$C$49,"NA")</f>
        <v>Storvatnet</v>
      </c>
      <c r="R216">
        <f>_xlfn.XLOOKUP($P216,localities!$B$2:$B$49,localities!$D$2:$D$49,"NA")</f>
        <v>1</v>
      </c>
      <c r="S216">
        <f>_xlfn.XLOOKUP($P216,localities!$B$2:$B$49,localities!$E$2:$E$49,"NA")</f>
        <v>63.621177600000003</v>
      </c>
      <c r="T216">
        <f>_xlfn.XLOOKUP($P216,localities!$B$2:$B$49,localities!$F$2:$F$49,"NA")</f>
        <v>10.2333759</v>
      </c>
      <c r="U216" t="str">
        <f>_xlfn.XLOOKUP($P216,localities!$B$2:$B$49,localities!$G$2:$G$49,"NA")</f>
        <v>WGS84</v>
      </c>
      <c r="V216">
        <f>_xlfn.XLOOKUP($P216,localities!$B$2:$B$49,localities!$H$2:$H$49,"NA")</f>
        <v>5</v>
      </c>
      <c r="W216" t="str">
        <f>_xlfn.XLOOKUP($P216,localities!$B$2:$B$49,localities!$I$2:$I$49,"NA")</f>
        <v>NOR</v>
      </c>
      <c r="X216" t="str">
        <f>_xlfn.XLOOKUP($P216,localities!$B$2:$B$49,localities!$J$2:$J$49,"NA")</f>
        <v>Norway</v>
      </c>
      <c r="Y216" t="str">
        <f>_xlfn.XLOOKUP($P216,localities!$B$2:$B$49,localities!$K$2:$K$49,"NA")</f>
        <v>Nord-Trøndelag</v>
      </c>
      <c r="Z216" t="str">
        <f>_xlfn.XLOOKUP($P216,localities!$B$2:$B$49,localities!$L$2:$L$49,"NA")</f>
        <v>Indre Fosen</v>
      </c>
    </row>
    <row r="217" spans="2:26" x14ac:dyDescent="0.3">
      <c r="B217" t="s">
        <v>293</v>
      </c>
      <c r="C217" s="23">
        <v>2</v>
      </c>
      <c r="E217" t="s">
        <v>224</v>
      </c>
      <c r="F217" s="19">
        <f>_xlfn.XLOOKUP($E217,parent_events!$B$2:$B$56,parent_events!$C$2:$C$56,"NA")</f>
        <v>45461</v>
      </c>
      <c r="G217">
        <f>_xlfn.XLOOKUP($E217,parent_events!$B$2:$B$56,parent_events!$D$2:$D$56,"NA")</f>
        <v>2024</v>
      </c>
      <c r="H217">
        <f>_xlfn.XLOOKUP($E217,parent_events!$B$2:$B$56,parent_events!$E$2:$E$56,"NA")</f>
        <v>6</v>
      </c>
      <c r="I217">
        <f>_xlfn.XLOOKUP($E217,parent_events!$B$2:$B$56,parent_events!$F$2:$F$56,"NA")</f>
        <v>18</v>
      </c>
      <c r="J217">
        <f>_xlfn.XLOOKUP($E217,parent_events!$B$2:$B$56,parent_events!$G$2:$G$56,"NA")</f>
        <v>4</v>
      </c>
      <c r="K217" t="str">
        <f>_xlfn.XLOOKUP($E217,parent_events!$B$2:$B$56,parent_events!$H$2:$H$56,"NA")</f>
        <v>Rot (1 min)</v>
      </c>
      <c r="L217" t="str">
        <f>_xlfn.XLOOKUP($E217,parent_events!$B$2:$B$56,parent_events!$I$2:$I$56,"NA")</f>
        <v>"3 replicates of 1 minute kick samples"</v>
      </c>
      <c r="M217">
        <f>_xlfn.XLOOKUP($E217,parent_events!$B$2:$B$56,parent_events!$J$2:$J$56,"NA")</f>
        <v>1</v>
      </c>
      <c r="N217" s="23" t="str">
        <f>_xlfn.XLOOKUP($E217,parent_events!$B$2:$B$56,parent_events!$K$2:$K$56,"NA")</f>
        <v>decimalMinute</v>
      </c>
      <c r="P217" t="str">
        <f>_xlfn.XLOOKUP($E217,parent_events!$B$2:$B$56,parent_events!$L$2:$L$56,"NA")</f>
        <v>Storvatnet_st1</v>
      </c>
      <c r="Q217" t="str">
        <f>_xlfn.XLOOKUP($P217,localities!$B$2:$B$49,localities!$C$2:$C$49,"NA")</f>
        <v>Storvatnet</v>
      </c>
      <c r="R217">
        <f>_xlfn.XLOOKUP($P217,localities!$B$2:$B$49,localities!$D$2:$D$49,"NA")</f>
        <v>1</v>
      </c>
      <c r="S217">
        <f>_xlfn.XLOOKUP($P217,localities!$B$2:$B$49,localities!$E$2:$E$49,"NA")</f>
        <v>63.621177600000003</v>
      </c>
      <c r="T217">
        <f>_xlfn.XLOOKUP($P217,localities!$B$2:$B$49,localities!$F$2:$F$49,"NA")</f>
        <v>10.2333759</v>
      </c>
      <c r="U217" t="str">
        <f>_xlfn.XLOOKUP($P217,localities!$B$2:$B$49,localities!$G$2:$G$49,"NA")</f>
        <v>WGS84</v>
      </c>
      <c r="V217">
        <f>_xlfn.XLOOKUP($P217,localities!$B$2:$B$49,localities!$H$2:$H$49,"NA")</f>
        <v>5</v>
      </c>
      <c r="W217" t="str">
        <f>_xlfn.XLOOKUP($P217,localities!$B$2:$B$49,localities!$I$2:$I$49,"NA")</f>
        <v>NOR</v>
      </c>
      <c r="X217" t="str">
        <f>_xlfn.XLOOKUP($P217,localities!$B$2:$B$49,localities!$J$2:$J$49,"NA")</f>
        <v>Norway</v>
      </c>
      <c r="Y217" t="str">
        <f>_xlfn.XLOOKUP($P217,localities!$B$2:$B$49,localities!$K$2:$K$49,"NA")</f>
        <v>Nord-Trøndelag</v>
      </c>
      <c r="Z217" t="str">
        <f>_xlfn.XLOOKUP($P217,localities!$B$2:$B$49,localities!$L$2:$L$49,"NA")</f>
        <v>Indre Fosen</v>
      </c>
    </row>
    <row r="218" spans="2:26" x14ac:dyDescent="0.3">
      <c r="B218" t="s">
        <v>294</v>
      </c>
      <c r="C218" s="23">
        <v>3</v>
      </c>
      <c r="E218" t="s">
        <v>224</v>
      </c>
      <c r="F218" s="19">
        <f>_xlfn.XLOOKUP($E218,parent_events!$B$2:$B$56,parent_events!$C$2:$C$56,"NA")</f>
        <v>45461</v>
      </c>
      <c r="G218">
        <f>_xlfn.XLOOKUP($E218,parent_events!$B$2:$B$56,parent_events!$D$2:$D$56,"NA")</f>
        <v>2024</v>
      </c>
      <c r="H218">
        <f>_xlfn.XLOOKUP($E218,parent_events!$B$2:$B$56,parent_events!$E$2:$E$56,"NA")</f>
        <v>6</v>
      </c>
      <c r="I218">
        <f>_xlfn.XLOOKUP($E218,parent_events!$B$2:$B$56,parent_events!$F$2:$F$56,"NA")</f>
        <v>18</v>
      </c>
      <c r="J218">
        <f>_xlfn.XLOOKUP($E218,parent_events!$B$2:$B$56,parent_events!$G$2:$G$56,"NA")</f>
        <v>4</v>
      </c>
      <c r="K218" t="str">
        <f>_xlfn.XLOOKUP($E218,parent_events!$B$2:$B$56,parent_events!$H$2:$H$56,"NA")</f>
        <v>Rot (1 min)</v>
      </c>
      <c r="L218" t="str">
        <f>_xlfn.XLOOKUP($E218,parent_events!$B$2:$B$56,parent_events!$I$2:$I$56,"NA")</f>
        <v>"3 replicates of 1 minute kick samples"</v>
      </c>
      <c r="M218">
        <f>_xlfn.XLOOKUP($E218,parent_events!$B$2:$B$56,parent_events!$J$2:$J$56,"NA")</f>
        <v>1</v>
      </c>
      <c r="N218" s="23" t="str">
        <f>_xlfn.XLOOKUP($E218,parent_events!$B$2:$B$56,parent_events!$K$2:$K$56,"NA")</f>
        <v>decimalMinute</v>
      </c>
      <c r="P218" t="str">
        <f>_xlfn.XLOOKUP($E218,parent_events!$B$2:$B$56,parent_events!$L$2:$L$56,"NA")</f>
        <v>Storvatnet_st1</v>
      </c>
      <c r="Q218" t="str">
        <f>_xlfn.XLOOKUP($P218,localities!$B$2:$B$49,localities!$C$2:$C$49,"NA")</f>
        <v>Storvatnet</v>
      </c>
      <c r="R218">
        <f>_xlfn.XLOOKUP($P218,localities!$B$2:$B$49,localities!$D$2:$D$49,"NA")</f>
        <v>1</v>
      </c>
      <c r="S218">
        <f>_xlfn.XLOOKUP($P218,localities!$B$2:$B$49,localities!$E$2:$E$49,"NA")</f>
        <v>63.621177600000003</v>
      </c>
      <c r="T218">
        <f>_xlfn.XLOOKUP($P218,localities!$B$2:$B$49,localities!$F$2:$F$49,"NA")</f>
        <v>10.2333759</v>
      </c>
      <c r="U218" t="str">
        <f>_xlfn.XLOOKUP($P218,localities!$B$2:$B$49,localities!$G$2:$G$49,"NA")</f>
        <v>WGS84</v>
      </c>
      <c r="V218">
        <f>_xlfn.XLOOKUP($P218,localities!$B$2:$B$49,localities!$H$2:$H$49,"NA")</f>
        <v>5</v>
      </c>
      <c r="W218" t="str">
        <f>_xlfn.XLOOKUP($P218,localities!$B$2:$B$49,localities!$I$2:$I$49,"NA")</f>
        <v>NOR</v>
      </c>
      <c r="X218" t="str">
        <f>_xlfn.XLOOKUP($P218,localities!$B$2:$B$49,localities!$J$2:$J$49,"NA")</f>
        <v>Norway</v>
      </c>
      <c r="Y218" t="str">
        <f>_xlfn.XLOOKUP($P218,localities!$B$2:$B$49,localities!$K$2:$K$49,"NA")</f>
        <v>Nord-Trøndelag</v>
      </c>
      <c r="Z218" t="str">
        <f>_xlfn.XLOOKUP($P218,localities!$B$2:$B$49,localities!$L$2:$L$49,"NA")</f>
        <v>Indre Fosen</v>
      </c>
    </row>
    <row r="219" spans="2:26" x14ac:dyDescent="0.3">
      <c r="B219" t="s">
        <v>267</v>
      </c>
      <c r="C219" s="23">
        <v>1</v>
      </c>
      <c r="E219" t="s">
        <v>225</v>
      </c>
      <c r="F219" s="19">
        <f>_xlfn.XLOOKUP($E219,parent_events!$B$2:$B$56,parent_events!$C$2:$C$56,"NA")</f>
        <v>45461</v>
      </c>
      <c r="G219">
        <f>_xlfn.XLOOKUP($E219,parent_events!$B$2:$B$56,parent_events!$D$2:$D$56,"NA")</f>
        <v>2024</v>
      </c>
      <c r="H219">
        <f>_xlfn.XLOOKUP($E219,parent_events!$B$2:$B$56,parent_events!$E$2:$E$56,"NA")</f>
        <v>6</v>
      </c>
      <c r="I219">
        <f>_xlfn.XLOOKUP($E219,parent_events!$B$2:$B$56,parent_events!$F$2:$F$56,"NA")</f>
        <v>18</v>
      </c>
      <c r="J219">
        <f>_xlfn.XLOOKUP($E219,parent_events!$B$2:$B$56,parent_events!$G$2:$G$56,"NA")</f>
        <v>4</v>
      </c>
      <c r="K219" t="str">
        <f>_xlfn.XLOOKUP($E219,parent_events!$B$2:$B$56,parent_events!$H$2:$H$56,"NA")</f>
        <v>Rot (1 min)</v>
      </c>
      <c r="L219" t="str">
        <f>_xlfn.XLOOKUP($E219,parent_events!$B$2:$B$56,parent_events!$I$2:$I$56,"NA")</f>
        <v>"3 replicates of 1 minute kick samples"</v>
      </c>
      <c r="M219">
        <f>_xlfn.XLOOKUP($E219,parent_events!$B$2:$B$56,parent_events!$J$2:$J$56,"NA")</f>
        <v>1</v>
      </c>
      <c r="N219" s="23" t="str">
        <f>_xlfn.XLOOKUP($E219,parent_events!$B$2:$B$56,parent_events!$K$2:$K$56,"NA")</f>
        <v>decimalMinute</v>
      </c>
      <c r="P219" t="str">
        <f>_xlfn.XLOOKUP($E219,parent_events!$B$2:$B$56,parent_events!$L$2:$L$56,"NA")</f>
        <v>Kilvatnet_st1</v>
      </c>
      <c r="Q219" t="str">
        <f>_xlfn.XLOOKUP($P219,localities!$B$2:$B$49,localities!$C$2:$C$49,"NA")</f>
        <v>Kilvatnet</v>
      </c>
      <c r="R219">
        <f>_xlfn.XLOOKUP($P219,localities!$B$2:$B$49,localities!$D$2:$D$49,"NA")</f>
        <v>1</v>
      </c>
      <c r="S219">
        <f>_xlfn.XLOOKUP($P219,localities!$B$2:$B$49,localities!$E$2:$E$49,"NA")</f>
        <v>63.3447909</v>
      </c>
      <c r="T219">
        <f>_xlfn.XLOOKUP($P219,localities!$B$2:$B$49,localities!$F$2:$F$49,"NA")</f>
        <v>10.5500174</v>
      </c>
      <c r="U219" t="str">
        <f>_xlfn.XLOOKUP($P219,localities!$B$2:$B$49,localities!$G$2:$G$49,"NA")</f>
        <v>WGS84</v>
      </c>
      <c r="V219">
        <f>_xlfn.XLOOKUP($P219,localities!$B$2:$B$49,localities!$H$2:$H$49,"NA")</f>
        <v>5</v>
      </c>
      <c r="W219" t="str">
        <f>_xlfn.XLOOKUP($P219,localities!$B$2:$B$49,localities!$I$2:$I$49,"NA")</f>
        <v>NOR</v>
      </c>
      <c r="X219" t="str">
        <f>_xlfn.XLOOKUP($P219,localities!$B$2:$B$49,localities!$J$2:$J$49,"NA")</f>
        <v>Norway</v>
      </c>
      <c r="Y219" t="str">
        <f>_xlfn.XLOOKUP($P219,localities!$B$2:$B$49,localities!$K$2:$K$49,"NA")</f>
        <v>Sør-Trøndelag</v>
      </c>
      <c r="Z219" t="str">
        <f>_xlfn.XLOOKUP($P219,localities!$B$2:$B$49,localities!$L$2:$L$49,"NA")</f>
        <v>Trondheim</v>
      </c>
    </row>
    <row r="220" spans="2:26" x14ac:dyDescent="0.3">
      <c r="B220" t="s">
        <v>295</v>
      </c>
      <c r="C220" s="23">
        <v>2</v>
      </c>
      <c r="E220" t="s">
        <v>225</v>
      </c>
      <c r="F220" s="19">
        <f>_xlfn.XLOOKUP($E220,parent_events!$B$2:$B$56,parent_events!$C$2:$C$56,"NA")</f>
        <v>45461</v>
      </c>
      <c r="G220">
        <f>_xlfn.XLOOKUP($E220,parent_events!$B$2:$B$56,parent_events!$D$2:$D$56,"NA")</f>
        <v>2024</v>
      </c>
      <c r="H220">
        <f>_xlfn.XLOOKUP($E220,parent_events!$B$2:$B$56,parent_events!$E$2:$E$56,"NA")</f>
        <v>6</v>
      </c>
      <c r="I220">
        <f>_xlfn.XLOOKUP($E220,parent_events!$B$2:$B$56,parent_events!$F$2:$F$56,"NA")</f>
        <v>18</v>
      </c>
      <c r="J220">
        <f>_xlfn.XLOOKUP($E220,parent_events!$B$2:$B$56,parent_events!$G$2:$G$56,"NA")</f>
        <v>4</v>
      </c>
      <c r="K220" t="str">
        <f>_xlfn.XLOOKUP($E220,parent_events!$B$2:$B$56,parent_events!$H$2:$H$56,"NA")</f>
        <v>Rot (1 min)</v>
      </c>
      <c r="L220" t="str">
        <f>_xlfn.XLOOKUP($E220,parent_events!$B$2:$B$56,parent_events!$I$2:$I$56,"NA")</f>
        <v>"3 replicates of 1 minute kick samples"</v>
      </c>
      <c r="M220">
        <f>_xlfn.XLOOKUP($E220,parent_events!$B$2:$B$56,parent_events!$J$2:$J$56,"NA")</f>
        <v>1</v>
      </c>
      <c r="N220" s="23" t="str">
        <f>_xlfn.XLOOKUP($E220,parent_events!$B$2:$B$56,parent_events!$K$2:$K$56,"NA")</f>
        <v>decimalMinute</v>
      </c>
      <c r="P220" t="str">
        <f>_xlfn.XLOOKUP($E220,parent_events!$B$2:$B$56,parent_events!$L$2:$L$56,"NA")</f>
        <v>Kilvatnet_st1</v>
      </c>
      <c r="Q220" t="str">
        <f>_xlfn.XLOOKUP($P220,localities!$B$2:$B$49,localities!$C$2:$C$49,"NA")</f>
        <v>Kilvatnet</v>
      </c>
      <c r="R220">
        <f>_xlfn.XLOOKUP($P220,localities!$B$2:$B$49,localities!$D$2:$D$49,"NA")</f>
        <v>1</v>
      </c>
      <c r="S220">
        <f>_xlfn.XLOOKUP($P220,localities!$B$2:$B$49,localities!$E$2:$E$49,"NA")</f>
        <v>63.3447909</v>
      </c>
      <c r="T220">
        <f>_xlfn.XLOOKUP($P220,localities!$B$2:$B$49,localities!$F$2:$F$49,"NA")</f>
        <v>10.5500174</v>
      </c>
      <c r="U220" t="str">
        <f>_xlfn.XLOOKUP($P220,localities!$B$2:$B$49,localities!$G$2:$G$49,"NA")</f>
        <v>WGS84</v>
      </c>
      <c r="V220">
        <f>_xlfn.XLOOKUP($P220,localities!$B$2:$B$49,localities!$H$2:$H$49,"NA")</f>
        <v>5</v>
      </c>
      <c r="W220" t="str">
        <f>_xlfn.XLOOKUP($P220,localities!$B$2:$B$49,localities!$I$2:$I$49,"NA")</f>
        <v>NOR</v>
      </c>
      <c r="X220" t="str">
        <f>_xlfn.XLOOKUP($P220,localities!$B$2:$B$49,localities!$J$2:$J$49,"NA")</f>
        <v>Norway</v>
      </c>
      <c r="Y220" t="str">
        <f>_xlfn.XLOOKUP($P220,localities!$B$2:$B$49,localities!$K$2:$K$49,"NA")</f>
        <v>Sør-Trøndelag</v>
      </c>
      <c r="Z220" t="str">
        <f>_xlfn.XLOOKUP($P220,localities!$B$2:$B$49,localities!$L$2:$L$49,"NA")</f>
        <v>Trondheim</v>
      </c>
    </row>
    <row r="221" spans="2:26" x14ac:dyDescent="0.3">
      <c r="B221" t="s">
        <v>296</v>
      </c>
      <c r="C221" s="23">
        <v>3</v>
      </c>
      <c r="E221" t="s">
        <v>225</v>
      </c>
      <c r="F221" s="19">
        <f>_xlfn.XLOOKUP($E221,parent_events!$B$2:$B$56,parent_events!$C$2:$C$56,"NA")</f>
        <v>45461</v>
      </c>
      <c r="G221">
        <f>_xlfn.XLOOKUP($E221,parent_events!$B$2:$B$56,parent_events!$D$2:$D$56,"NA")</f>
        <v>2024</v>
      </c>
      <c r="H221">
        <f>_xlfn.XLOOKUP($E221,parent_events!$B$2:$B$56,parent_events!$E$2:$E$56,"NA")</f>
        <v>6</v>
      </c>
      <c r="I221">
        <f>_xlfn.XLOOKUP($E221,parent_events!$B$2:$B$56,parent_events!$F$2:$F$56,"NA")</f>
        <v>18</v>
      </c>
      <c r="J221">
        <f>_xlfn.XLOOKUP($E221,parent_events!$B$2:$B$56,parent_events!$G$2:$G$56,"NA")</f>
        <v>4</v>
      </c>
      <c r="K221" t="str">
        <f>_xlfn.XLOOKUP($E221,parent_events!$B$2:$B$56,parent_events!$H$2:$H$56,"NA")</f>
        <v>Rot (1 min)</v>
      </c>
      <c r="L221" t="str">
        <f>_xlfn.XLOOKUP($E221,parent_events!$B$2:$B$56,parent_events!$I$2:$I$56,"NA")</f>
        <v>"3 replicates of 1 minute kick samples"</v>
      </c>
      <c r="M221">
        <f>_xlfn.XLOOKUP($E221,parent_events!$B$2:$B$56,parent_events!$J$2:$J$56,"NA")</f>
        <v>1</v>
      </c>
      <c r="N221" s="23" t="str">
        <f>_xlfn.XLOOKUP($E221,parent_events!$B$2:$B$56,parent_events!$K$2:$K$56,"NA")</f>
        <v>decimalMinute</v>
      </c>
      <c r="P221" t="str">
        <f>_xlfn.XLOOKUP($E221,parent_events!$B$2:$B$56,parent_events!$L$2:$L$56,"NA")</f>
        <v>Kilvatnet_st1</v>
      </c>
      <c r="Q221" t="str">
        <f>_xlfn.XLOOKUP($P221,localities!$B$2:$B$49,localities!$C$2:$C$49,"NA")</f>
        <v>Kilvatnet</v>
      </c>
      <c r="R221">
        <f>_xlfn.XLOOKUP($P221,localities!$B$2:$B$49,localities!$D$2:$D$49,"NA")</f>
        <v>1</v>
      </c>
      <c r="S221">
        <f>_xlfn.XLOOKUP($P221,localities!$B$2:$B$49,localities!$E$2:$E$49,"NA")</f>
        <v>63.3447909</v>
      </c>
      <c r="T221">
        <f>_xlfn.XLOOKUP($P221,localities!$B$2:$B$49,localities!$F$2:$F$49,"NA")</f>
        <v>10.5500174</v>
      </c>
      <c r="U221" t="str">
        <f>_xlfn.XLOOKUP($P221,localities!$B$2:$B$49,localities!$G$2:$G$49,"NA")</f>
        <v>WGS84</v>
      </c>
      <c r="V221">
        <f>_xlfn.XLOOKUP($P221,localities!$B$2:$B$49,localities!$H$2:$H$49,"NA")</f>
        <v>5</v>
      </c>
      <c r="W221" t="str">
        <f>_xlfn.XLOOKUP($P221,localities!$B$2:$B$49,localities!$I$2:$I$49,"NA")</f>
        <v>NOR</v>
      </c>
      <c r="X221" t="str">
        <f>_xlfn.XLOOKUP($P221,localities!$B$2:$B$49,localities!$J$2:$J$49,"NA")</f>
        <v>Norway</v>
      </c>
      <c r="Y221" t="str">
        <f>_xlfn.XLOOKUP($P221,localities!$B$2:$B$49,localities!$K$2:$K$49,"NA")</f>
        <v>Sør-Trøndelag</v>
      </c>
      <c r="Z221" t="str">
        <f>_xlfn.XLOOKUP($P221,localities!$B$2:$B$49,localities!$L$2:$L$49,"NA")</f>
        <v>Trondheim</v>
      </c>
    </row>
    <row r="222" spans="2:26" x14ac:dyDescent="0.3">
      <c r="B222" t="s">
        <v>268</v>
      </c>
      <c r="C222" s="23">
        <v>1</v>
      </c>
      <c r="E222" t="s">
        <v>226</v>
      </c>
      <c r="F222" s="19">
        <f>_xlfn.XLOOKUP($E222,parent_events!$B$2:$B$56,parent_events!$C$2:$C$56,"NA")</f>
        <v>45462</v>
      </c>
      <c r="G222">
        <f>_xlfn.XLOOKUP($E222,parent_events!$B$2:$B$56,parent_events!$D$2:$D$56,"NA")</f>
        <v>2024</v>
      </c>
      <c r="H222">
        <f>_xlfn.XLOOKUP($E222,parent_events!$B$2:$B$56,parent_events!$E$2:$E$56,"NA")</f>
        <v>6</v>
      </c>
      <c r="I222">
        <f>_xlfn.XLOOKUP($E222,parent_events!$B$2:$B$56,parent_events!$F$2:$F$56,"NA")</f>
        <v>19</v>
      </c>
      <c r="J222">
        <f>_xlfn.XLOOKUP($E222,parent_events!$B$2:$B$56,parent_events!$G$2:$G$56,"NA")</f>
        <v>4</v>
      </c>
      <c r="K222" t="str">
        <f>_xlfn.XLOOKUP($E222,parent_events!$B$2:$B$56,parent_events!$H$2:$H$56,"NA")</f>
        <v>Rot (1 min)</v>
      </c>
      <c r="L222" t="str">
        <f>_xlfn.XLOOKUP($E222,parent_events!$B$2:$B$56,parent_events!$I$2:$I$56,"NA")</f>
        <v>"3 replicates of 1 minute kick samples"</v>
      </c>
      <c r="M222">
        <f>_xlfn.XLOOKUP($E222,parent_events!$B$2:$B$56,parent_events!$J$2:$J$56,"NA")</f>
        <v>1</v>
      </c>
      <c r="N222" s="23" t="str">
        <f>_xlfn.XLOOKUP($E222,parent_events!$B$2:$B$56,parent_events!$K$2:$K$56,"NA")</f>
        <v>decimalMinute</v>
      </c>
      <c r="P222" t="str">
        <f>_xlfn.XLOOKUP($E222,parent_events!$B$2:$B$56,parent_events!$L$2:$L$56,"NA")</f>
        <v>Stor-Drakstsjoen_st1</v>
      </c>
      <c r="Q222" t="str">
        <f>_xlfn.XLOOKUP($P222,localities!$B$2:$B$49,localities!$C$2:$C$49,"NA")</f>
        <v>Stor-Drakstsjøen</v>
      </c>
      <c r="R222">
        <f>_xlfn.XLOOKUP($P222,localities!$B$2:$B$49,localities!$D$2:$D$49,"NA")</f>
        <v>1</v>
      </c>
      <c r="S222">
        <f>_xlfn.XLOOKUP($P222,localities!$B$2:$B$49,localities!$E$2:$E$49,"NA")</f>
        <v>63.286461099999997</v>
      </c>
      <c r="T222">
        <f>_xlfn.XLOOKUP($P222,localities!$B$2:$B$49,localities!$F$2:$F$49,"NA")</f>
        <v>10.802471300000001</v>
      </c>
      <c r="U222" t="str">
        <f>_xlfn.XLOOKUP($P222,localities!$B$2:$B$49,localities!$G$2:$G$49,"NA")</f>
        <v>WGS84</v>
      </c>
      <c r="V222">
        <f>_xlfn.XLOOKUP($P222,localities!$B$2:$B$49,localities!$H$2:$H$49,"NA")</f>
        <v>5</v>
      </c>
      <c r="W222" t="str">
        <f>_xlfn.XLOOKUP($P222,localities!$B$2:$B$49,localities!$I$2:$I$49,"NA")</f>
        <v>NOR</v>
      </c>
      <c r="X222" t="str">
        <f>_xlfn.XLOOKUP($P222,localities!$B$2:$B$49,localities!$J$2:$J$49,"NA")</f>
        <v>Norway</v>
      </c>
      <c r="Y222" t="str">
        <f>_xlfn.XLOOKUP($P222,localities!$B$2:$B$49,localities!$K$2:$K$49,"NA")</f>
        <v>Sør-Trøndelag</v>
      </c>
      <c r="Z222" t="str">
        <f>_xlfn.XLOOKUP($P222,localities!$B$2:$B$49,localities!$L$2:$L$49,"NA")</f>
        <v>Selbu</v>
      </c>
    </row>
    <row r="223" spans="2:26" x14ac:dyDescent="0.3">
      <c r="B223" t="s">
        <v>297</v>
      </c>
      <c r="C223" s="23">
        <v>2</v>
      </c>
      <c r="E223" t="s">
        <v>226</v>
      </c>
      <c r="F223" s="19">
        <f>_xlfn.XLOOKUP($E223,parent_events!$B$2:$B$56,parent_events!$C$2:$C$56,"NA")</f>
        <v>45462</v>
      </c>
      <c r="G223">
        <f>_xlfn.XLOOKUP($E223,parent_events!$B$2:$B$56,parent_events!$D$2:$D$56,"NA")</f>
        <v>2024</v>
      </c>
      <c r="H223">
        <f>_xlfn.XLOOKUP($E223,parent_events!$B$2:$B$56,parent_events!$E$2:$E$56,"NA")</f>
        <v>6</v>
      </c>
      <c r="I223">
        <f>_xlfn.XLOOKUP($E223,parent_events!$B$2:$B$56,parent_events!$F$2:$F$56,"NA")</f>
        <v>19</v>
      </c>
      <c r="J223">
        <f>_xlfn.XLOOKUP($E223,parent_events!$B$2:$B$56,parent_events!$G$2:$G$56,"NA")</f>
        <v>4</v>
      </c>
      <c r="K223" t="str">
        <f>_xlfn.XLOOKUP($E223,parent_events!$B$2:$B$56,parent_events!$H$2:$H$56,"NA")</f>
        <v>Rot (1 min)</v>
      </c>
      <c r="L223" t="str">
        <f>_xlfn.XLOOKUP($E223,parent_events!$B$2:$B$56,parent_events!$I$2:$I$56,"NA")</f>
        <v>"3 replicates of 1 minute kick samples"</v>
      </c>
      <c r="M223">
        <f>_xlfn.XLOOKUP($E223,parent_events!$B$2:$B$56,parent_events!$J$2:$J$56,"NA")</f>
        <v>1</v>
      </c>
      <c r="N223" s="23" t="str">
        <f>_xlfn.XLOOKUP($E223,parent_events!$B$2:$B$56,parent_events!$K$2:$K$56,"NA")</f>
        <v>decimalMinute</v>
      </c>
      <c r="P223" t="str">
        <f>_xlfn.XLOOKUP($E223,parent_events!$B$2:$B$56,parent_events!$L$2:$L$56,"NA")</f>
        <v>Stor-Drakstsjoen_st1</v>
      </c>
      <c r="Q223" t="str">
        <f>_xlfn.XLOOKUP($P223,localities!$B$2:$B$49,localities!$C$2:$C$49,"NA")</f>
        <v>Stor-Drakstsjøen</v>
      </c>
      <c r="R223">
        <f>_xlfn.XLOOKUP($P223,localities!$B$2:$B$49,localities!$D$2:$D$49,"NA")</f>
        <v>1</v>
      </c>
      <c r="S223">
        <f>_xlfn.XLOOKUP($P223,localities!$B$2:$B$49,localities!$E$2:$E$49,"NA")</f>
        <v>63.286461099999997</v>
      </c>
      <c r="T223">
        <f>_xlfn.XLOOKUP($P223,localities!$B$2:$B$49,localities!$F$2:$F$49,"NA")</f>
        <v>10.802471300000001</v>
      </c>
      <c r="U223" t="str">
        <f>_xlfn.XLOOKUP($P223,localities!$B$2:$B$49,localities!$G$2:$G$49,"NA")</f>
        <v>WGS84</v>
      </c>
      <c r="V223">
        <f>_xlfn.XLOOKUP($P223,localities!$B$2:$B$49,localities!$H$2:$H$49,"NA")</f>
        <v>5</v>
      </c>
      <c r="W223" t="str">
        <f>_xlfn.XLOOKUP($P223,localities!$B$2:$B$49,localities!$I$2:$I$49,"NA")</f>
        <v>NOR</v>
      </c>
      <c r="X223" t="str">
        <f>_xlfn.XLOOKUP($P223,localities!$B$2:$B$49,localities!$J$2:$J$49,"NA")</f>
        <v>Norway</v>
      </c>
      <c r="Y223" t="str">
        <f>_xlfn.XLOOKUP($P223,localities!$B$2:$B$49,localities!$K$2:$K$49,"NA")</f>
        <v>Sør-Trøndelag</v>
      </c>
      <c r="Z223" t="str">
        <f>_xlfn.XLOOKUP($P223,localities!$B$2:$B$49,localities!$L$2:$L$49,"NA")</f>
        <v>Selbu</v>
      </c>
    </row>
    <row r="224" spans="2:26" x14ac:dyDescent="0.3">
      <c r="B224" t="s">
        <v>298</v>
      </c>
      <c r="C224" s="23">
        <v>3</v>
      </c>
      <c r="E224" t="s">
        <v>226</v>
      </c>
      <c r="F224" s="19">
        <f>_xlfn.XLOOKUP($E224,parent_events!$B$2:$B$56,parent_events!$C$2:$C$56,"NA")</f>
        <v>45462</v>
      </c>
      <c r="G224">
        <f>_xlfn.XLOOKUP($E224,parent_events!$B$2:$B$56,parent_events!$D$2:$D$56,"NA")</f>
        <v>2024</v>
      </c>
      <c r="H224">
        <f>_xlfn.XLOOKUP($E224,parent_events!$B$2:$B$56,parent_events!$E$2:$E$56,"NA")</f>
        <v>6</v>
      </c>
      <c r="I224">
        <f>_xlfn.XLOOKUP($E224,parent_events!$B$2:$B$56,parent_events!$F$2:$F$56,"NA")</f>
        <v>19</v>
      </c>
      <c r="J224">
        <f>_xlfn.XLOOKUP($E224,parent_events!$B$2:$B$56,parent_events!$G$2:$G$56,"NA")</f>
        <v>4</v>
      </c>
      <c r="K224" t="str">
        <f>_xlfn.XLOOKUP($E224,parent_events!$B$2:$B$56,parent_events!$H$2:$H$56,"NA")</f>
        <v>Rot (1 min)</v>
      </c>
      <c r="L224" t="str">
        <f>_xlfn.XLOOKUP($E224,parent_events!$B$2:$B$56,parent_events!$I$2:$I$56,"NA")</f>
        <v>"3 replicates of 1 minute kick samples"</v>
      </c>
      <c r="M224">
        <f>_xlfn.XLOOKUP($E224,parent_events!$B$2:$B$56,parent_events!$J$2:$J$56,"NA")</f>
        <v>1</v>
      </c>
      <c r="N224" s="23" t="str">
        <f>_xlfn.XLOOKUP($E224,parent_events!$B$2:$B$56,parent_events!$K$2:$K$56,"NA")</f>
        <v>decimalMinute</v>
      </c>
      <c r="P224" t="str">
        <f>_xlfn.XLOOKUP($E224,parent_events!$B$2:$B$56,parent_events!$L$2:$L$56,"NA")</f>
        <v>Stor-Drakstsjoen_st1</v>
      </c>
      <c r="Q224" t="str">
        <f>_xlfn.XLOOKUP($P224,localities!$B$2:$B$49,localities!$C$2:$C$49,"NA")</f>
        <v>Stor-Drakstsjøen</v>
      </c>
      <c r="R224">
        <f>_xlfn.XLOOKUP($P224,localities!$B$2:$B$49,localities!$D$2:$D$49,"NA")</f>
        <v>1</v>
      </c>
      <c r="S224">
        <f>_xlfn.XLOOKUP($P224,localities!$B$2:$B$49,localities!$E$2:$E$49,"NA")</f>
        <v>63.286461099999997</v>
      </c>
      <c r="T224">
        <f>_xlfn.XLOOKUP($P224,localities!$B$2:$B$49,localities!$F$2:$F$49,"NA")</f>
        <v>10.802471300000001</v>
      </c>
      <c r="U224" t="str">
        <f>_xlfn.XLOOKUP($P224,localities!$B$2:$B$49,localities!$G$2:$G$49,"NA")</f>
        <v>WGS84</v>
      </c>
      <c r="V224">
        <f>_xlfn.XLOOKUP($P224,localities!$B$2:$B$49,localities!$H$2:$H$49,"NA")</f>
        <v>5</v>
      </c>
      <c r="W224" t="str">
        <f>_xlfn.XLOOKUP($P224,localities!$B$2:$B$49,localities!$I$2:$I$49,"NA")</f>
        <v>NOR</v>
      </c>
      <c r="X224" t="str">
        <f>_xlfn.XLOOKUP($P224,localities!$B$2:$B$49,localities!$J$2:$J$49,"NA")</f>
        <v>Norway</v>
      </c>
      <c r="Y224" t="str">
        <f>_xlfn.XLOOKUP($P224,localities!$B$2:$B$49,localities!$K$2:$K$49,"NA")</f>
        <v>Sør-Trøndelag</v>
      </c>
      <c r="Z224" t="str">
        <f>_xlfn.XLOOKUP($P224,localities!$B$2:$B$49,localities!$L$2:$L$49,"NA")</f>
        <v>Selbu</v>
      </c>
    </row>
  </sheetData>
  <phoneticPr fontId="16" type="noConversion"/>
  <pageMargins left="0.75" right="0.75" top="1" bottom="1" header="0.5" footer="0.5"/>
  <pageSetup paperSize="9" orientation="portrait" horizontalDpi="4294967292" verticalDpi="4294967292"/>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F287804-C2B5-4D39-B180-D171824374EC}">
          <x14:formula1>
            <xm:f>parent_events!$B$2:$B$56</xm:f>
          </x14:formula1>
          <xm:sqref>E2:E224</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580D5-A955-4188-A78F-ACA81C1B255A}">
  <dimension ref="A1:L56"/>
  <sheetViews>
    <sheetView zoomScale="70" zoomScaleNormal="70" workbookViewId="0">
      <selection activeCell="K5" sqref="K5"/>
    </sheetView>
  </sheetViews>
  <sheetFormatPr defaultRowHeight="15.6" x14ac:dyDescent="0.3"/>
  <cols>
    <col min="1" max="1" width="26.3984375" customWidth="1"/>
    <col min="2" max="2" width="27.09765625" customWidth="1"/>
    <col min="3" max="3" width="11.09765625" customWidth="1"/>
    <col min="7" max="7" width="14.296875" customWidth="1"/>
    <col min="8" max="8" width="17.19921875" customWidth="1"/>
    <col min="9" max="9" width="33.5" customWidth="1"/>
    <col min="10" max="10" width="16.59765625" customWidth="1"/>
    <col min="11" max="11" width="15.5" customWidth="1"/>
    <col min="12" max="12" width="25.19921875" customWidth="1"/>
    <col min="13" max="13" width="13.09765625" customWidth="1"/>
    <col min="14" max="14" width="16" customWidth="1"/>
    <col min="15" max="15" width="17.3984375" customWidth="1"/>
    <col min="16" max="16" width="15.3984375" customWidth="1"/>
    <col min="17" max="17" width="13.19921875" customWidth="1"/>
  </cols>
  <sheetData>
    <row r="1" spans="1:12" x14ac:dyDescent="0.3">
      <c r="A1" s="2" t="s">
        <v>26</v>
      </c>
      <c r="B1" s="20" t="s">
        <v>25</v>
      </c>
      <c r="C1" s="1" t="s">
        <v>1</v>
      </c>
      <c r="D1" s="24" t="s">
        <v>27</v>
      </c>
      <c r="E1" s="24" t="s">
        <v>28</v>
      </c>
      <c r="F1" s="24" t="s">
        <v>29</v>
      </c>
      <c r="G1" s="20" t="s">
        <v>308</v>
      </c>
      <c r="H1" s="1" t="s">
        <v>30</v>
      </c>
      <c r="I1" s="2" t="s">
        <v>31</v>
      </c>
      <c r="J1" s="1" t="s">
        <v>32</v>
      </c>
      <c r="K1" s="1" t="s">
        <v>33</v>
      </c>
      <c r="L1" s="20" t="s">
        <v>301</v>
      </c>
    </row>
    <row r="2" spans="1:12" x14ac:dyDescent="0.3">
      <c r="B2" t="s">
        <v>35</v>
      </c>
      <c r="C2" s="19">
        <v>45051</v>
      </c>
      <c r="D2">
        <v>2023</v>
      </c>
      <c r="E2">
        <v>5</v>
      </c>
      <c r="F2">
        <v>5</v>
      </c>
      <c r="G2" s="28">
        <v>1</v>
      </c>
      <c r="H2" t="s">
        <v>36</v>
      </c>
      <c r="I2" t="s">
        <v>37</v>
      </c>
      <c r="J2">
        <v>1</v>
      </c>
      <c r="K2" t="s">
        <v>38</v>
      </c>
      <c r="L2" s="22" t="s">
        <v>302</v>
      </c>
    </row>
    <row r="3" spans="1:12" x14ac:dyDescent="0.3">
      <c r="B3" t="s">
        <v>39</v>
      </c>
      <c r="C3" s="19">
        <v>45053</v>
      </c>
      <c r="D3">
        <v>2023</v>
      </c>
      <c r="E3">
        <v>5</v>
      </c>
      <c r="F3">
        <v>7</v>
      </c>
      <c r="G3" s="28">
        <v>1</v>
      </c>
      <c r="H3" t="s">
        <v>36</v>
      </c>
      <c r="I3" t="s">
        <v>37</v>
      </c>
      <c r="J3">
        <v>1</v>
      </c>
      <c r="K3" t="s">
        <v>38</v>
      </c>
      <c r="L3" s="22" t="s">
        <v>303</v>
      </c>
    </row>
    <row r="4" spans="1:12" x14ac:dyDescent="0.3">
      <c r="B4" t="s">
        <v>40</v>
      </c>
      <c r="C4" s="19">
        <v>45053</v>
      </c>
      <c r="D4">
        <v>2023</v>
      </c>
      <c r="E4">
        <v>5</v>
      </c>
      <c r="F4">
        <v>7</v>
      </c>
      <c r="G4" s="28">
        <v>1</v>
      </c>
      <c r="H4" t="s">
        <v>36</v>
      </c>
      <c r="I4" t="s">
        <v>37</v>
      </c>
      <c r="J4">
        <v>1</v>
      </c>
      <c r="K4" t="s">
        <v>38</v>
      </c>
      <c r="L4" s="22" t="s">
        <v>307</v>
      </c>
    </row>
    <row r="5" spans="1:12" x14ac:dyDescent="0.3">
      <c r="A5" s="41"/>
      <c r="B5" t="s">
        <v>352</v>
      </c>
      <c r="C5" s="19">
        <v>45053</v>
      </c>
      <c r="D5">
        <v>2023</v>
      </c>
      <c r="E5">
        <v>5</v>
      </c>
      <c r="F5">
        <v>7</v>
      </c>
      <c r="G5" s="28">
        <v>1</v>
      </c>
      <c r="L5" s="22" t="s">
        <v>305</v>
      </c>
    </row>
    <row r="6" spans="1:12" x14ac:dyDescent="0.3">
      <c r="B6" t="s">
        <v>41</v>
      </c>
      <c r="C6" s="19">
        <v>45057</v>
      </c>
      <c r="D6">
        <v>2023</v>
      </c>
      <c r="E6">
        <v>5</v>
      </c>
      <c r="F6">
        <v>11</v>
      </c>
      <c r="G6" s="28">
        <v>1</v>
      </c>
      <c r="H6" t="s">
        <v>36</v>
      </c>
      <c r="I6" t="s">
        <v>37</v>
      </c>
      <c r="J6">
        <v>1</v>
      </c>
      <c r="K6" t="s">
        <v>38</v>
      </c>
      <c r="L6" s="22" t="s">
        <v>304</v>
      </c>
    </row>
    <row r="7" spans="1:12" s="29" customFormat="1" x14ac:dyDescent="0.3">
      <c r="B7" s="29" t="s">
        <v>42</v>
      </c>
      <c r="C7" s="30">
        <v>45057</v>
      </c>
      <c r="D7" s="29">
        <v>2023</v>
      </c>
      <c r="E7" s="29">
        <v>5</v>
      </c>
      <c r="F7" s="29">
        <v>11</v>
      </c>
      <c r="G7" s="31">
        <v>1</v>
      </c>
      <c r="H7" s="29" t="s">
        <v>36</v>
      </c>
      <c r="I7" s="29" t="s">
        <v>37</v>
      </c>
      <c r="J7" s="29">
        <v>1</v>
      </c>
      <c r="K7" s="29" t="s">
        <v>38</v>
      </c>
      <c r="L7" s="32" t="s">
        <v>306</v>
      </c>
    </row>
    <row r="8" spans="1:12" s="33" customFormat="1" x14ac:dyDescent="0.3">
      <c r="B8" s="33" t="s">
        <v>43</v>
      </c>
      <c r="C8" s="34">
        <v>45068</v>
      </c>
      <c r="D8" s="33">
        <v>2023</v>
      </c>
      <c r="E8" s="33">
        <v>5</v>
      </c>
      <c r="F8" s="33">
        <v>22</v>
      </c>
      <c r="G8" s="35">
        <v>2</v>
      </c>
      <c r="H8" s="33" t="s">
        <v>36</v>
      </c>
      <c r="I8" s="33" t="s">
        <v>37</v>
      </c>
      <c r="J8" s="33">
        <v>1</v>
      </c>
      <c r="K8" s="33" t="s">
        <v>38</v>
      </c>
      <c r="L8" s="36" t="s">
        <v>305</v>
      </c>
    </row>
    <row r="9" spans="1:12" x14ac:dyDescent="0.3">
      <c r="B9" t="s">
        <v>44</v>
      </c>
      <c r="C9" s="19">
        <v>45068</v>
      </c>
      <c r="D9">
        <v>2023</v>
      </c>
      <c r="E9">
        <v>5</v>
      </c>
      <c r="F9">
        <v>22</v>
      </c>
      <c r="G9" s="28">
        <v>2</v>
      </c>
      <c r="H9" t="s">
        <v>36</v>
      </c>
      <c r="I9" t="s">
        <v>37</v>
      </c>
      <c r="J9">
        <v>1</v>
      </c>
      <c r="K9" t="s">
        <v>38</v>
      </c>
      <c r="L9" s="22" t="s">
        <v>302</v>
      </c>
    </row>
    <row r="10" spans="1:12" x14ac:dyDescent="0.3">
      <c r="B10" t="s">
        <v>45</v>
      </c>
      <c r="C10" s="19">
        <v>45068</v>
      </c>
      <c r="D10">
        <v>2023</v>
      </c>
      <c r="E10">
        <v>5</v>
      </c>
      <c r="F10">
        <v>22</v>
      </c>
      <c r="G10" s="28">
        <v>2</v>
      </c>
      <c r="H10" t="s">
        <v>36</v>
      </c>
      <c r="I10" t="s">
        <v>37</v>
      </c>
      <c r="J10">
        <v>1</v>
      </c>
      <c r="K10" t="s">
        <v>38</v>
      </c>
      <c r="L10" s="22" t="s">
        <v>303</v>
      </c>
    </row>
    <row r="11" spans="1:12" x14ac:dyDescent="0.3">
      <c r="B11" t="s">
        <v>46</v>
      </c>
      <c r="C11" s="19">
        <v>45068</v>
      </c>
      <c r="D11">
        <v>2023</v>
      </c>
      <c r="E11">
        <v>5</v>
      </c>
      <c r="F11">
        <v>22</v>
      </c>
      <c r="G11" s="28">
        <v>2</v>
      </c>
      <c r="H11" t="s">
        <v>36</v>
      </c>
      <c r="I11" t="s">
        <v>37</v>
      </c>
      <c r="J11">
        <v>1</v>
      </c>
      <c r="K11" t="s">
        <v>38</v>
      </c>
      <c r="L11" s="22" t="s">
        <v>307</v>
      </c>
    </row>
    <row r="12" spans="1:12" x14ac:dyDescent="0.3">
      <c r="B12" t="s">
        <v>47</v>
      </c>
      <c r="C12" s="19">
        <v>45070</v>
      </c>
      <c r="D12">
        <v>2023</v>
      </c>
      <c r="E12">
        <v>5</v>
      </c>
      <c r="F12">
        <v>24</v>
      </c>
      <c r="G12" s="28">
        <v>2</v>
      </c>
      <c r="H12" t="s">
        <v>36</v>
      </c>
      <c r="I12" t="s">
        <v>37</v>
      </c>
      <c r="J12">
        <v>1</v>
      </c>
      <c r="K12" t="s">
        <v>38</v>
      </c>
      <c r="L12" s="22" t="s">
        <v>306</v>
      </c>
    </row>
    <row r="13" spans="1:12" s="29" customFormat="1" x14ac:dyDescent="0.3">
      <c r="B13" s="29" t="s">
        <v>48</v>
      </c>
      <c r="C13" s="30">
        <v>45070</v>
      </c>
      <c r="D13" s="29">
        <v>2023</v>
      </c>
      <c r="E13" s="29">
        <v>5</v>
      </c>
      <c r="F13" s="29">
        <v>24</v>
      </c>
      <c r="G13" s="31">
        <v>2</v>
      </c>
      <c r="H13" s="29" t="s">
        <v>36</v>
      </c>
      <c r="I13" s="29" t="s">
        <v>37</v>
      </c>
      <c r="J13" s="29">
        <v>1</v>
      </c>
      <c r="K13" s="29" t="s">
        <v>38</v>
      </c>
      <c r="L13" s="32" t="s">
        <v>304</v>
      </c>
    </row>
    <row r="14" spans="1:12" s="33" customFormat="1" x14ac:dyDescent="0.3">
      <c r="B14" s="33" t="s">
        <v>49</v>
      </c>
      <c r="C14" s="34">
        <v>45084</v>
      </c>
      <c r="D14" s="33">
        <v>2023</v>
      </c>
      <c r="E14" s="33">
        <v>6</v>
      </c>
      <c r="F14" s="33">
        <v>7</v>
      </c>
      <c r="G14" s="35">
        <v>3</v>
      </c>
      <c r="H14" s="33" t="s">
        <v>36</v>
      </c>
      <c r="I14" s="33" t="s">
        <v>37</v>
      </c>
      <c r="J14" s="33">
        <v>1</v>
      </c>
      <c r="K14" s="33" t="s">
        <v>38</v>
      </c>
      <c r="L14" s="36" t="s">
        <v>306</v>
      </c>
    </row>
    <row r="15" spans="1:12" x14ac:dyDescent="0.3">
      <c r="B15" t="s">
        <v>50</v>
      </c>
      <c r="C15" s="19">
        <v>45084</v>
      </c>
      <c r="D15">
        <v>2023</v>
      </c>
      <c r="E15">
        <v>6</v>
      </c>
      <c r="F15">
        <v>7</v>
      </c>
      <c r="G15" s="28">
        <v>3</v>
      </c>
      <c r="H15" t="s">
        <v>36</v>
      </c>
      <c r="I15" t="s">
        <v>37</v>
      </c>
      <c r="J15">
        <v>1</v>
      </c>
      <c r="K15" t="s">
        <v>38</v>
      </c>
      <c r="L15" s="22" t="s">
        <v>304</v>
      </c>
    </row>
    <row r="16" spans="1:12" x14ac:dyDescent="0.3">
      <c r="B16" t="s">
        <v>51</v>
      </c>
      <c r="C16" s="19">
        <v>45085</v>
      </c>
      <c r="D16">
        <v>2023</v>
      </c>
      <c r="E16">
        <v>6</v>
      </c>
      <c r="F16">
        <v>8</v>
      </c>
      <c r="G16" s="28">
        <v>3</v>
      </c>
      <c r="H16" t="s">
        <v>36</v>
      </c>
      <c r="I16" t="s">
        <v>37</v>
      </c>
      <c r="J16">
        <v>1</v>
      </c>
      <c r="K16" t="s">
        <v>38</v>
      </c>
      <c r="L16" s="22" t="s">
        <v>305</v>
      </c>
    </row>
    <row r="17" spans="2:12" x14ac:dyDescent="0.3">
      <c r="B17" t="s">
        <v>52</v>
      </c>
      <c r="C17" s="19">
        <v>45085</v>
      </c>
      <c r="D17">
        <v>2023</v>
      </c>
      <c r="E17">
        <v>6</v>
      </c>
      <c r="F17">
        <v>8</v>
      </c>
      <c r="G17" s="28">
        <v>3</v>
      </c>
      <c r="H17" t="s">
        <v>36</v>
      </c>
      <c r="I17" t="s">
        <v>37</v>
      </c>
      <c r="J17">
        <v>1</v>
      </c>
      <c r="K17" t="s">
        <v>38</v>
      </c>
      <c r="L17" s="22" t="s">
        <v>302</v>
      </c>
    </row>
    <row r="18" spans="2:12" x14ac:dyDescent="0.3">
      <c r="B18" t="s">
        <v>53</v>
      </c>
      <c r="C18" s="19">
        <v>45085</v>
      </c>
      <c r="D18">
        <v>2023</v>
      </c>
      <c r="E18">
        <v>6</v>
      </c>
      <c r="F18">
        <v>8</v>
      </c>
      <c r="G18" s="28">
        <v>3</v>
      </c>
      <c r="H18" t="s">
        <v>36</v>
      </c>
      <c r="I18" t="s">
        <v>37</v>
      </c>
      <c r="J18">
        <v>1</v>
      </c>
      <c r="K18" t="s">
        <v>38</v>
      </c>
      <c r="L18" s="22" t="s">
        <v>303</v>
      </c>
    </row>
    <row r="19" spans="2:12" s="29" customFormat="1" x14ac:dyDescent="0.3">
      <c r="B19" s="29" t="s">
        <v>54</v>
      </c>
      <c r="C19" s="30">
        <v>45085</v>
      </c>
      <c r="D19" s="29">
        <v>2023</v>
      </c>
      <c r="E19" s="29">
        <v>6</v>
      </c>
      <c r="F19" s="29">
        <v>8</v>
      </c>
      <c r="G19" s="31">
        <v>3</v>
      </c>
      <c r="H19" s="29" t="s">
        <v>36</v>
      </c>
      <c r="I19" s="29" t="s">
        <v>37</v>
      </c>
      <c r="J19" s="29">
        <v>1</v>
      </c>
      <c r="K19" s="29" t="s">
        <v>38</v>
      </c>
      <c r="L19" s="32" t="s">
        <v>307</v>
      </c>
    </row>
    <row r="20" spans="2:12" s="33" customFormat="1" x14ac:dyDescent="0.3">
      <c r="B20" s="33" t="s">
        <v>55</v>
      </c>
      <c r="C20" s="34">
        <v>45097</v>
      </c>
      <c r="D20" s="33">
        <v>2023</v>
      </c>
      <c r="E20" s="33">
        <v>6</v>
      </c>
      <c r="F20" s="33">
        <v>20</v>
      </c>
      <c r="G20" s="35">
        <v>4</v>
      </c>
      <c r="H20" s="33" t="s">
        <v>36</v>
      </c>
      <c r="I20" s="33" t="s">
        <v>37</v>
      </c>
      <c r="J20" s="33">
        <v>1</v>
      </c>
      <c r="K20" s="33" t="s">
        <v>38</v>
      </c>
      <c r="L20" s="36" t="s">
        <v>306</v>
      </c>
    </row>
    <row r="21" spans="2:12" x14ac:dyDescent="0.3">
      <c r="B21" t="s">
        <v>56</v>
      </c>
      <c r="C21" s="19">
        <v>45097</v>
      </c>
      <c r="D21">
        <v>2023</v>
      </c>
      <c r="E21">
        <v>6</v>
      </c>
      <c r="F21">
        <v>20</v>
      </c>
      <c r="G21" s="28">
        <v>4</v>
      </c>
      <c r="H21" t="s">
        <v>36</v>
      </c>
      <c r="I21" t="s">
        <v>37</v>
      </c>
      <c r="J21">
        <v>1</v>
      </c>
      <c r="K21" t="s">
        <v>38</v>
      </c>
      <c r="L21" s="22" t="s">
        <v>304</v>
      </c>
    </row>
    <row r="22" spans="2:12" x14ac:dyDescent="0.3">
      <c r="B22" t="s">
        <v>57</v>
      </c>
      <c r="C22" s="19">
        <v>45098</v>
      </c>
      <c r="D22">
        <v>2023</v>
      </c>
      <c r="E22">
        <v>6</v>
      </c>
      <c r="F22">
        <v>21</v>
      </c>
      <c r="G22" s="28">
        <v>4</v>
      </c>
      <c r="H22" t="s">
        <v>36</v>
      </c>
      <c r="I22" t="s">
        <v>37</v>
      </c>
      <c r="J22">
        <v>1</v>
      </c>
      <c r="K22" t="s">
        <v>38</v>
      </c>
      <c r="L22" s="22" t="s">
        <v>307</v>
      </c>
    </row>
    <row r="23" spans="2:12" x14ac:dyDescent="0.3">
      <c r="B23" t="s">
        <v>58</v>
      </c>
      <c r="C23" s="19">
        <v>45098</v>
      </c>
      <c r="D23">
        <v>2023</v>
      </c>
      <c r="E23">
        <v>6</v>
      </c>
      <c r="F23">
        <v>21</v>
      </c>
      <c r="G23" s="28">
        <v>4</v>
      </c>
      <c r="H23" t="s">
        <v>36</v>
      </c>
      <c r="I23" t="s">
        <v>37</v>
      </c>
      <c r="J23">
        <v>1</v>
      </c>
      <c r="K23" t="s">
        <v>38</v>
      </c>
      <c r="L23" s="22" t="s">
        <v>302</v>
      </c>
    </row>
    <row r="24" spans="2:12" x14ac:dyDescent="0.3">
      <c r="B24" t="s">
        <v>59</v>
      </c>
      <c r="C24" s="19">
        <v>45098</v>
      </c>
      <c r="D24">
        <v>2023</v>
      </c>
      <c r="E24">
        <v>6</v>
      </c>
      <c r="F24">
        <v>21</v>
      </c>
      <c r="G24" s="28">
        <v>4</v>
      </c>
      <c r="H24" t="s">
        <v>36</v>
      </c>
      <c r="I24" t="s">
        <v>37</v>
      </c>
      <c r="J24">
        <v>1</v>
      </c>
      <c r="K24" t="s">
        <v>38</v>
      </c>
      <c r="L24" s="22" t="s">
        <v>303</v>
      </c>
    </row>
    <row r="25" spans="2:12" s="29" customFormat="1" x14ac:dyDescent="0.3">
      <c r="B25" s="29" t="s">
        <v>60</v>
      </c>
      <c r="C25" s="30">
        <v>45098</v>
      </c>
      <c r="D25" s="29">
        <v>2023</v>
      </c>
      <c r="E25" s="29">
        <v>6</v>
      </c>
      <c r="F25" s="29">
        <v>21</v>
      </c>
      <c r="G25" s="31">
        <v>4</v>
      </c>
      <c r="H25" s="29" t="s">
        <v>36</v>
      </c>
      <c r="I25" s="29" t="s">
        <v>37</v>
      </c>
      <c r="J25" s="29">
        <v>1</v>
      </c>
      <c r="K25" s="29" t="s">
        <v>38</v>
      </c>
      <c r="L25" s="32" t="s">
        <v>305</v>
      </c>
    </row>
    <row r="26" spans="2:12" s="37" customFormat="1" x14ac:dyDescent="0.3">
      <c r="B26" s="37" t="s">
        <v>61</v>
      </c>
      <c r="C26" s="38">
        <v>45117</v>
      </c>
      <c r="D26" s="37">
        <v>2023</v>
      </c>
      <c r="E26" s="37">
        <v>7</v>
      </c>
      <c r="F26" s="37">
        <v>10</v>
      </c>
      <c r="G26" s="39">
        <v>5</v>
      </c>
      <c r="H26" s="37" t="s">
        <v>36</v>
      </c>
      <c r="I26" s="37" t="s">
        <v>37</v>
      </c>
      <c r="J26" s="37">
        <v>1</v>
      </c>
      <c r="K26" s="37" t="s">
        <v>38</v>
      </c>
      <c r="L26" s="40" t="s">
        <v>305</v>
      </c>
    </row>
    <row r="27" spans="2:12" s="33" customFormat="1" x14ac:dyDescent="0.3">
      <c r="B27" s="33" t="s">
        <v>316</v>
      </c>
      <c r="C27" s="34">
        <v>45190</v>
      </c>
      <c r="D27" s="33">
        <v>2023</v>
      </c>
      <c r="E27" s="33">
        <v>9</v>
      </c>
      <c r="F27" s="33">
        <v>21</v>
      </c>
      <c r="G27" s="35">
        <v>6</v>
      </c>
      <c r="H27" s="33" t="s">
        <v>36</v>
      </c>
      <c r="I27" s="33" t="s">
        <v>37</v>
      </c>
      <c r="J27" s="33">
        <v>1</v>
      </c>
      <c r="K27" s="33" t="s">
        <v>38</v>
      </c>
      <c r="L27" s="36" t="s">
        <v>304</v>
      </c>
    </row>
    <row r="28" spans="2:12" x14ac:dyDescent="0.3">
      <c r="B28" t="s">
        <v>317</v>
      </c>
      <c r="C28" s="19">
        <v>45190</v>
      </c>
      <c r="D28">
        <v>2023</v>
      </c>
      <c r="E28">
        <v>9</v>
      </c>
      <c r="F28">
        <v>21</v>
      </c>
      <c r="G28" s="28">
        <v>6</v>
      </c>
      <c r="H28" t="s">
        <v>36</v>
      </c>
      <c r="I28" t="s">
        <v>37</v>
      </c>
      <c r="J28">
        <v>1</v>
      </c>
      <c r="K28" t="s">
        <v>38</v>
      </c>
      <c r="L28" s="22" t="s">
        <v>306</v>
      </c>
    </row>
    <row r="29" spans="2:12" x14ac:dyDescent="0.3">
      <c r="B29" t="s">
        <v>315</v>
      </c>
      <c r="C29" s="19">
        <v>45194</v>
      </c>
      <c r="D29">
        <v>2023</v>
      </c>
      <c r="E29">
        <v>9</v>
      </c>
      <c r="F29">
        <v>25</v>
      </c>
      <c r="G29" s="28">
        <v>6</v>
      </c>
      <c r="H29" t="s">
        <v>36</v>
      </c>
      <c r="I29" t="s">
        <v>37</v>
      </c>
      <c r="J29">
        <v>1</v>
      </c>
      <c r="K29" t="s">
        <v>38</v>
      </c>
      <c r="L29" s="22" t="s">
        <v>303</v>
      </c>
    </row>
    <row r="30" spans="2:12" x14ac:dyDescent="0.3">
      <c r="B30" t="s">
        <v>318</v>
      </c>
      <c r="C30" s="19">
        <v>45194</v>
      </c>
      <c r="D30">
        <v>2023</v>
      </c>
      <c r="E30">
        <v>9</v>
      </c>
      <c r="F30">
        <v>25</v>
      </c>
      <c r="G30" s="28">
        <v>6</v>
      </c>
      <c r="H30" t="s">
        <v>36</v>
      </c>
      <c r="I30" t="s">
        <v>37</v>
      </c>
      <c r="J30">
        <v>1</v>
      </c>
      <c r="K30" t="s">
        <v>38</v>
      </c>
      <c r="L30" s="22" t="s">
        <v>307</v>
      </c>
    </row>
    <row r="31" spans="2:12" x14ac:dyDescent="0.3">
      <c r="B31" t="s">
        <v>319</v>
      </c>
      <c r="C31" s="19">
        <v>45194</v>
      </c>
      <c r="D31">
        <v>2023</v>
      </c>
      <c r="E31">
        <v>9</v>
      </c>
      <c r="F31">
        <v>25</v>
      </c>
      <c r="G31" s="28">
        <v>6</v>
      </c>
      <c r="H31" t="s">
        <v>36</v>
      </c>
      <c r="I31" t="s">
        <v>37</v>
      </c>
      <c r="J31">
        <v>1</v>
      </c>
      <c r="K31" t="s">
        <v>38</v>
      </c>
      <c r="L31" s="22" t="s">
        <v>302</v>
      </c>
    </row>
    <row r="32" spans="2:12" s="29" customFormat="1" x14ac:dyDescent="0.3">
      <c r="B32" s="29" t="s">
        <v>320</v>
      </c>
      <c r="C32" s="30">
        <v>45194</v>
      </c>
      <c r="D32" s="29">
        <v>2023</v>
      </c>
      <c r="E32" s="29">
        <v>9</v>
      </c>
      <c r="F32" s="29">
        <v>25</v>
      </c>
      <c r="G32" s="31">
        <v>6</v>
      </c>
      <c r="H32" s="29" t="s">
        <v>36</v>
      </c>
      <c r="I32" s="29" t="s">
        <v>37</v>
      </c>
      <c r="J32" s="29">
        <v>1</v>
      </c>
      <c r="K32" s="29" t="s">
        <v>38</v>
      </c>
      <c r="L32" s="29" t="s">
        <v>305</v>
      </c>
    </row>
    <row r="33" spans="2:12" s="33" customFormat="1" x14ac:dyDescent="0.3">
      <c r="B33" s="33" t="s">
        <v>62</v>
      </c>
      <c r="C33" s="34">
        <v>45419</v>
      </c>
      <c r="D33" s="33">
        <v>2024</v>
      </c>
      <c r="E33" s="33">
        <v>5</v>
      </c>
      <c r="F33" s="33">
        <v>7</v>
      </c>
      <c r="G33" s="35">
        <v>1</v>
      </c>
      <c r="H33" s="33" t="s">
        <v>36</v>
      </c>
      <c r="I33" s="33" t="s">
        <v>208</v>
      </c>
      <c r="J33" s="33">
        <v>1</v>
      </c>
      <c r="K33" s="33" t="s">
        <v>38</v>
      </c>
      <c r="L33" s="33" t="s">
        <v>303</v>
      </c>
    </row>
    <row r="34" spans="2:12" x14ac:dyDescent="0.3">
      <c r="B34" t="s">
        <v>63</v>
      </c>
      <c r="C34" s="19">
        <v>45419</v>
      </c>
      <c r="D34">
        <v>2024</v>
      </c>
      <c r="E34">
        <v>5</v>
      </c>
      <c r="F34">
        <v>7</v>
      </c>
      <c r="G34" s="28">
        <v>1</v>
      </c>
      <c r="H34" t="s">
        <v>36</v>
      </c>
      <c r="I34" t="s">
        <v>208</v>
      </c>
      <c r="J34">
        <v>1</v>
      </c>
      <c r="K34" t="s">
        <v>38</v>
      </c>
      <c r="L34" t="s">
        <v>305</v>
      </c>
    </row>
    <row r="35" spans="2:12" x14ac:dyDescent="0.3">
      <c r="B35" t="s">
        <v>64</v>
      </c>
      <c r="C35" s="19">
        <v>45420</v>
      </c>
      <c r="D35">
        <v>2024</v>
      </c>
      <c r="E35">
        <v>5</v>
      </c>
      <c r="F35">
        <v>8</v>
      </c>
      <c r="G35" s="28">
        <v>1</v>
      </c>
      <c r="H35" t="s">
        <v>36</v>
      </c>
      <c r="I35" t="s">
        <v>208</v>
      </c>
      <c r="J35">
        <v>1</v>
      </c>
      <c r="K35" t="s">
        <v>38</v>
      </c>
      <c r="L35" t="s">
        <v>302</v>
      </c>
    </row>
    <row r="36" spans="2:12" x14ac:dyDescent="0.3">
      <c r="B36" t="s">
        <v>65</v>
      </c>
      <c r="C36" s="19">
        <v>45420</v>
      </c>
      <c r="D36">
        <v>2024</v>
      </c>
      <c r="E36">
        <v>5</v>
      </c>
      <c r="F36">
        <v>8</v>
      </c>
      <c r="G36" s="28">
        <v>1</v>
      </c>
      <c r="H36" t="s">
        <v>36</v>
      </c>
      <c r="I36" t="s">
        <v>208</v>
      </c>
      <c r="J36">
        <v>1</v>
      </c>
      <c r="K36" t="s">
        <v>38</v>
      </c>
      <c r="L36" t="s">
        <v>304</v>
      </c>
    </row>
    <row r="37" spans="2:12" x14ac:dyDescent="0.3">
      <c r="B37" t="s">
        <v>66</v>
      </c>
      <c r="C37" s="19">
        <v>45420</v>
      </c>
      <c r="D37">
        <v>2024</v>
      </c>
      <c r="E37">
        <v>5</v>
      </c>
      <c r="F37">
        <v>8</v>
      </c>
      <c r="G37" s="28">
        <v>1</v>
      </c>
      <c r="H37" t="s">
        <v>36</v>
      </c>
      <c r="I37" t="s">
        <v>208</v>
      </c>
      <c r="J37">
        <v>1</v>
      </c>
      <c r="K37" t="s">
        <v>38</v>
      </c>
      <c r="L37" t="s">
        <v>307</v>
      </c>
    </row>
    <row r="38" spans="2:12" s="29" customFormat="1" x14ac:dyDescent="0.3">
      <c r="B38" s="29" t="s">
        <v>67</v>
      </c>
      <c r="C38" s="30">
        <v>45421</v>
      </c>
      <c r="D38" s="29">
        <v>2024</v>
      </c>
      <c r="E38" s="29">
        <v>5</v>
      </c>
      <c r="F38" s="29">
        <v>9</v>
      </c>
      <c r="G38" s="31">
        <v>1</v>
      </c>
      <c r="H38" s="29" t="s">
        <v>36</v>
      </c>
      <c r="I38" s="29" t="s">
        <v>208</v>
      </c>
      <c r="J38" s="29">
        <v>1</v>
      </c>
      <c r="K38" s="29" t="s">
        <v>38</v>
      </c>
      <c r="L38" s="29" t="s">
        <v>306</v>
      </c>
    </row>
    <row r="39" spans="2:12" s="33" customFormat="1" x14ac:dyDescent="0.3">
      <c r="B39" s="33" t="s">
        <v>209</v>
      </c>
      <c r="C39" s="34">
        <v>45434</v>
      </c>
      <c r="D39" s="33">
        <v>2024</v>
      </c>
      <c r="E39" s="33">
        <v>5</v>
      </c>
      <c r="F39" s="33">
        <v>22</v>
      </c>
      <c r="G39" s="35">
        <v>2</v>
      </c>
      <c r="H39" s="33" t="s">
        <v>36</v>
      </c>
      <c r="I39" s="33" t="s">
        <v>208</v>
      </c>
      <c r="J39" s="33">
        <v>1</v>
      </c>
      <c r="K39" s="33" t="s">
        <v>38</v>
      </c>
      <c r="L39" s="33" t="s">
        <v>305</v>
      </c>
    </row>
    <row r="40" spans="2:12" x14ac:dyDescent="0.3">
      <c r="B40" t="s">
        <v>210</v>
      </c>
      <c r="C40" s="19">
        <v>45434</v>
      </c>
      <c r="D40">
        <v>2024</v>
      </c>
      <c r="E40">
        <v>5</v>
      </c>
      <c r="F40">
        <v>22</v>
      </c>
      <c r="G40" s="28">
        <v>2</v>
      </c>
      <c r="H40" t="s">
        <v>36</v>
      </c>
      <c r="I40" t="s">
        <v>208</v>
      </c>
      <c r="J40">
        <v>1</v>
      </c>
      <c r="K40" t="s">
        <v>38</v>
      </c>
      <c r="L40" t="s">
        <v>302</v>
      </c>
    </row>
    <row r="41" spans="2:12" x14ac:dyDescent="0.3">
      <c r="B41" t="s">
        <v>211</v>
      </c>
      <c r="C41" s="19">
        <v>45434</v>
      </c>
      <c r="D41">
        <v>2024</v>
      </c>
      <c r="E41">
        <v>5</v>
      </c>
      <c r="F41">
        <v>22</v>
      </c>
      <c r="G41" s="28">
        <v>2</v>
      </c>
      <c r="H41" t="s">
        <v>36</v>
      </c>
      <c r="I41" t="s">
        <v>208</v>
      </c>
      <c r="J41">
        <v>1</v>
      </c>
      <c r="K41" t="s">
        <v>38</v>
      </c>
      <c r="L41" t="s">
        <v>303</v>
      </c>
    </row>
    <row r="42" spans="2:12" x14ac:dyDescent="0.3">
      <c r="B42" t="s">
        <v>212</v>
      </c>
      <c r="C42" s="19">
        <v>45434</v>
      </c>
      <c r="D42">
        <v>2024</v>
      </c>
      <c r="E42">
        <v>5</v>
      </c>
      <c r="F42">
        <v>22</v>
      </c>
      <c r="G42" s="28">
        <v>2</v>
      </c>
      <c r="H42" t="s">
        <v>36</v>
      </c>
      <c r="I42" t="s">
        <v>208</v>
      </c>
      <c r="J42">
        <v>1</v>
      </c>
      <c r="K42" t="s">
        <v>38</v>
      </c>
      <c r="L42" t="s">
        <v>307</v>
      </c>
    </row>
    <row r="43" spans="2:12" x14ac:dyDescent="0.3">
      <c r="B43" t="s">
        <v>213</v>
      </c>
      <c r="C43" s="19">
        <v>45435</v>
      </c>
      <c r="D43">
        <v>2024</v>
      </c>
      <c r="E43">
        <v>5</v>
      </c>
      <c r="F43">
        <v>23</v>
      </c>
      <c r="G43" s="28">
        <v>2</v>
      </c>
      <c r="H43" t="s">
        <v>36</v>
      </c>
      <c r="I43" t="s">
        <v>208</v>
      </c>
      <c r="J43">
        <v>1</v>
      </c>
      <c r="K43" t="s">
        <v>38</v>
      </c>
      <c r="L43" t="s">
        <v>304</v>
      </c>
    </row>
    <row r="44" spans="2:12" s="29" customFormat="1" x14ac:dyDescent="0.3">
      <c r="B44" s="29" t="s">
        <v>214</v>
      </c>
      <c r="C44" s="30">
        <v>45435</v>
      </c>
      <c r="D44" s="29">
        <v>2024</v>
      </c>
      <c r="E44" s="29">
        <v>5</v>
      </c>
      <c r="F44" s="29">
        <v>23</v>
      </c>
      <c r="G44" s="31">
        <v>2</v>
      </c>
      <c r="H44" s="29" t="s">
        <v>36</v>
      </c>
      <c r="I44" s="29" t="s">
        <v>208</v>
      </c>
      <c r="J44" s="29">
        <v>1</v>
      </c>
      <c r="K44" s="29" t="s">
        <v>38</v>
      </c>
      <c r="L44" s="29" t="s">
        <v>306</v>
      </c>
    </row>
    <row r="45" spans="2:12" s="33" customFormat="1" x14ac:dyDescent="0.3">
      <c r="B45" s="33" t="s">
        <v>215</v>
      </c>
      <c r="C45" s="34">
        <v>45446</v>
      </c>
      <c r="D45" s="33">
        <v>2024</v>
      </c>
      <c r="E45" s="33">
        <v>6</v>
      </c>
      <c r="F45" s="33">
        <v>3</v>
      </c>
      <c r="G45" s="35">
        <v>3</v>
      </c>
      <c r="H45" s="33" t="s">
        <v>36</v>
      </c>
      <c r="I45" s="33" t="s">
        <v>208</v>
      </c>
      <c r="J45" s="33">
        <v>1</v>
      </c>
      <c r="K45" s="33" t="s">
        <v>38</v>
      </c>
      <c r="L45" s="33" t="s">
        <v>305</v>
      </c>
    </row>
    <row r="46" spans="2:12" x14ac:dyDescent="0.3">
      <c r="B46" t="s">
        <v>216</v>
      </c>
      <c r="C46" s="19">
        <v>45446</v>
      </c>
      <c r="D46">
        <v>2024</v>
      </c>
      <c r="E46">
        <v>6</v>
      </c>
      <c r="F46">
        <v>3</v>
      </c>
      <c r="G46" s="28">
        <v>3</v>
      </c>
      <c r="H46" t="s">
        <v>36</v>
      </c>
      <c r="I46" t="s">
        <v>208</v>
      </c>
      <c r="J46">
        <v>1</v>
      </c>
      <c r="K46" t="s">
        <v>38</v>
      </c>
      <c r="L46" t="s">
        <v>302</v>
      </c>
    </row>
    <row r="47" spans="2:12" x14ac:dyDescent="0.3">
      <c r="B47" t="s">
        <v>217</v>
      </c>
      <c r="C47" s="19">
        <v>45446</v>
      </c>
      <c r="D47">
        <v>2024</v>
      </c>
      <c r="E47">
        <v>6</v>
      </c>
      <c r="F47">
        <v>3</v>
      </c>
      <c r="G47" s="28">
        <v>3</v>
      </c>
      <c r="H47" t="s">
        <v>36</v>
      </c>
      <c r="I47" t="s">
        <v>208</v>
      </c>
      <c r="J47">
        <v>1</v>
      </c>
      <c r="K47" t="s">
        <v>38</v>
      </c>
      <c r="L47" t="s">
        <v>303</v>
      </c>
    </row>
    <row r="48" spans="2:12" x14ac:dyDescent="0.3">
      <c r="B48" t="s">
        <v>218</v>
      </c>
      <c r="C48" s="19">
        <v>45446</v>
      </c>
      <c r="D48">
        <v>2024</v>
      </c>
      <c r="E48">
        <v>6</v>
      </c>
      <c r="F48">
        <v>3</v>
      </c>
      <c r="G48" s="28">
        <v>3</v>
      </c>
      <c r="H48" t="s">
        <v>36</v>
      </c>
      <c r="I48" t="s">
        <v>208</v>
      </c>
      <c r="J48">
        <v>1</v>
      </c>
      <c r="K48" t="s">
        <v>38</v>
      </c>
      <c r="L48" t="s">
        <v>307</v>
      </c>
    </row>
    <row r="49" spans="2:12" x14ac:dyDescent="0.3">
      <c r="B49" t="s">
        <v>219</v>
      </c>
      <c r="C49" s="19">
        <v>45447</v>
      </c>
      <c r="D49">
        <v>2024</v>
      </c>
      <c r="E49">
        <v>6</v>
      </c>
      <c r="F49">
        <v>4</v>
      </c>
      <c r="G49" s="28">
        <v>3</v>
      </c>
      <c r="H49" t="s">
        <v>36</v>
      </c>
      <c r="I49" t="s">
        <v>208</v>
      </c>
      <c r="J49">
        <v>1</v>
      </c>
      <c r="K49" t="s">
        <v>38</v>
      </c>
      <c r="L49" t="s">
        <v>304</v>
      </c>
    </row>
    <row r="50" spans="2:12" s="29" customFormat="1" x14ac:dyDescent="0.3">
      <c r="B50" s="29" t="s">
        <v>220</v>
      </c>
      <c r="C50" s="30">
        <v>45447</v>
      </c>
      <c r="D50" s="29">
        <v>2024</v>
      </c>
      <c r="E50" s="29">
        <v>6</v>
      </c>
      <c r="F50" s="29">
        <v>4</v>
      </c>
      <c r="G50" s="31">
        <v>3</v>
      </c>
      <c r="H50" s="29" t="s">
        <v>36</v>
      </c>
      <c r="I50" s="29" t="s">
        <v>208</v>
      </c>
      <c r="J50" s="29">
        <v>1</v>
      </c>
      <c r="K50" s="29" t="s">
        <v>38</v>
      </c>
      <c r="L50" s="29" t="s">
        <v>306</v>
      </c>
    </row>
    <row r="51" spans="2:12" s="33" customFormat="1" x14ac:dyDescent="0.3">
      <c r="B51" s="33" t="s">
        <v>221</v>
      </c>
      <c r="C51" s="34">
        <v>45461</v>
      </c>
      <c r="D51" s="33">
        <v>2024</v>
      </c>
      <c r="E51" s="33">
        <v>6</v>
      </c>
      <c r="F51" s="33">
        <v>18</v>
      </c>
      <c r="G51" s="35">
        <v>4</v>
      </c>
      <c r="H51" s="33" t="s">
        <v>36</v>
      </c>
      <c r="I51" s="33" t="s">
        <v>208</v>
      </c>
      <c r="J51" s="33">
        <v>1</v>
      </c>
      <c r="K51" s="33" t="s">
        <v>38</v>
      </c>
      <c r="L51" s="36" t="s">
        <v>305</v>
      </c>
    </row>
    <row r="52" spans="2:12" x14ac:dyDescent="0.3">
      <c r="B52" t="s">
        <v>222</v>
      </c>
      <c r="C52" s="19">
        <v>45461</v>
      </c>
      <c r="D52">
        <v>2024</v>
      </c>
      <c r="E52">
        <v>6</v>
      </c>
      <c r="F52">
        <v>18</v>
      </c>
      <c r="G52" s="28">
        <v>4</v>
      </c>
      <c r="H52" t="s">
        <v>36</v>
      </c>
      <c r="I52" t="s">
        <v>208</v>
      </c>
      <c r="J52">
        <v>1</v>
      </c>
      <c r="K52" t="s">
        <v>38</v>
      </c>
      <c r="L52" s="22" t="s">
        <v>302</v>
      </c>
    </row>
    <row r="53" spans="2:12" x14ac:dyDescent="0.3">
      <c r="B53" t="s">
        <v>223</v>
      </c>
      <c r="C53" s="19">
        <v>45461</v>
      </c>
      <c r="D53">
        <v>2024</v>
      </c>
      <c r="E53">
        <v>6</v>
      </c>
      <c r="F53">
        <v>18</v>
      </c>
      <c r="G53" s="28">
        <v>4</v>
      </c>
      <c r="H53" t="s">
        <v>36</v>
      </c>
      <c r="I53" t="s">
        <v>208</v>
      </c>
      <c r="J53">
        <v>1</v>
      </c>
      <c r="K53" t="s">
        <v>38</v>
      </c>
      <c r="L53" s="22" t="s">
        <v>303</v>
      </c>
    </row>
    <row r="54" spans="2:12" x14ac:dyDescent="0.3">
      <c r="B54" t="s">
        <v>224</v>
      </c>
      <c r="C54" s="19">
        <v>45461</v>
      </c>
      <c r="D54">
        <v>2024</v>
      </c>
      <c r="E54">
        <v>6</v>
      </c>
      <c r="F54">
        <v>18</v>
      </c>
      <c r="G54" s="28">
        <v>4</v>
      </c>
      <c r="H54" t="s">
        <v>36</v>
      </c>
      <c r="I54" t="s">
        <v>208</v>
      </c>
      <c r="J54">
        <v>1</v>
      </c>
      <c r="K54" t="s">
        <v>38</v>
      </c>
      <c r="L54" s="22" t="s">
        <v>307</v>
      </c>
    </row>
    <row r="55" spans="2:12" x14ac:dyDescent="0.3">
      <c r="B55" t="s">
        <v>225</v>
      </c>
      <c r="C55" s="19">
        <v>45461</v>
      </c>
      <c r="D55">
        <v>2024</v>
      </c>
      <c r="E55">
        <v>6</v>
      </c>
      <c r="F55">
        <v>18</v>
      </c>
      <c r="G55" s="28">
        <v>4</v>
      </c>
      <c r="H55" t="s">
        <v>36</v>
      </c>
      <c r="I55" t="s">
        <v>208</v>
      </c>
      <c r="J55">
        <v>1</v>
      </c>
      <c r="K55" t="s">
        <v>38</v>
      </c>
      <c r="L55" s="22" t="s">
        <v>304</v>
      </c>
    </row>
    <row r="56" spans="2:12" s="29" customFormat="1" x14ac:dyDescent="0.3">
      <c r="B56" s="29" t="s">
        <v>226</v>
      </c>
      <c r="C56" s="30">
        <v>45462</v>
      </c>
      <c r="D56" s="29">
        <v>2024</v>
      </c>
      <c r="E56" s="29">
        <v>6</v>
      </c>
      <c r="F56" s="29">
        <v>19</v>
      </c>
      <c r="G56" s="31">
        <v>4</v>
      </c>
      <c r="H56" s="29" t="s">
        <v>36</v>
      </c>
      <c r="I56" s="29" t="s">
        <v>208</v>
      </c>
      <c r="J56" s="29">
        <v>1</v>
      </c>
      <c r="K56" s="29" t="s">
        <v>38</v>
      </c>
      <c r="L56" s="32" t="s">
        <v>306</v>
      </c>
    </row>
  </sheetData>
  <phoneticPr fontId="16" type="noConversion"/>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B74BD-CE71-4AFB-8C25-A024991ED86E}">
  <dimension ref="A1:L7"/>
  <sheetViews>
    <sheetView workbookViewId="0">
      <selection activeCell="D33" sqref="D33"/>
    </sheetView>
  </sheetViews>
  <sheetFormatPr defaultRowHeight="15.6" x14ac:dyDescent="0.3"/>
  <cols>
    <col min="1" max="1" width="15.19921875" customWidth="1"/>
    <col min="2" max="2" width="18.69921875" customWidth="1"/>
    <col min="3" max="4" width="14.19921875" customWidth="1"/>
    <col min="5" max="5" width="16.59765625" customWidth="1"/>
    <col min="6" max="7" width="17.3984375" customWidth="1"/>
    <col min="8" max="8" width="28.19921875" customWidth="1"/>
    <col min="9" max="10" width="17.3984375" customWidth="1"/>
    <col min="11" max="11" width="15.19921875" customWidth="1"/>
    <col min="12" max="12" width="10.3984375" customWidth="1"/>
  </cols>
  <sheetData>
    <row r="1" spans="1:12" x14ac:dyDescent="0.3">
      <c r="A1" s="3" t="s">
        <v>34</v>
      </c>
      <c r="B1" s="20" t="s">
        <v>301</v>
      </c>
      <c r="C1" s="20" t="s">
        <v>6</v>
      </c>
      <c r="D1" s="20" t="s">
        <v>300</v>
      </c>
      <c r="E1" s="21" t="s">
        <v>2</v>
      </c>
      <c r="F1" s="21" t="s">
        <v>3</v>
      </c>
      <c r="G1" s="21" t="s">
        <v>4</v>
      </c>
      <c r="H1" s="21" t="s">
        <v>299</v>
      </c>
      <c r="I1" s="21" t="s">
        <v>5</v>
      </c>
      <c r="J1" s="20" t="s">
        <v>7</v>
      </c>
      <c r="K1" s="20" t="s">
        <v>8</v>
      </c>
      <c r="L1" s="20" t="s">
        <v>9</v>
      </c>
    </row>
    <row r="2" spans="1:12" x14ac:dyDescent="0.3">
      <c r="A2" s="22"/>
      <c r="B2" s="22" t="s">
        <v>302</v>
      </c>
      <c r="C2" t="s">
        <v>10</v>
      </c>
      <c r="D2">
        <v>1</v>
      </c>
      <c r="E2">
        <v>63.797785500000003</v>
      </c>
      <c r="F2">
        <v>9.8281852999999995</v>
      </c>
      <c r="G2" t="s">
        <v>11</v>
      </c>
      <c r="H2">
        <v>5</v>
      </c>
      <c r="I2" t="s">
        <v>12</v>
      </c>
      <c r="J2" t="s">
        <v>13</v>
      </c>
      <c r="K2" t="s">
        <v>14</v>
      </c>
      <c r="L2" t="s">
        <v>15</v>
      </c>
    </row>
    <row r="3" spans="1:12" x14ac:dyDescent="0.3">
      <c r="A3" s="22"/>
      <c r="B3" s="22" t="s">
        <v>303</v>
      </c>
      <c r="C3" t="s">
        <v>16</v>
      </c>
      <c r="D3">
        <v>1</v>
      </c>
      <c r="E3">
        <v>63.789260900000002</v>
      </c>
      <c r="F3">
        <v>10.0251734</v>
      </c>
      <c r="G3" t="s">
        <v>11</v>
      </c>
      <c r="H3">
        <v>5</v>
      </c>
      <c r="I3" t="s">
        <v>12</v>
      </c>
      <c r="J3" t="s">
        <v>13</v>
      </c>
      <c r="K3" t="s">
        <v>14</v>
      </c>
      <c r="L3" t="s">
        <v>17</v>
      </c>
    </row>
    <row r="4" spans="1:12" x14ac:dyDescent="0.3">
      <c r="A4" s="22"/>
      <c r="B4" s="22" t="s">
        <v>304</v>
      </c>
      <c r="C4" t="s">
        <v>18</v>
      </c>
      <c r="D4">
        <v>1</v>
      </c>
      <c r="E4">
        <v>63.3447909</v>
      </c>
      <c r="F4">
        <v>10.5500174</v>
      </c>
      <c r="G4" t="s">
        <v>11</v>
      </c>
      <c r="H4">
        <v>5</v>
      </c>
      <c r="I4" t="s">
        <v>12</v>
      </c>
      <c r="J4" t="s">
        <v>13</v>
      </c>
      <c r="K4" t="s">
        <v>14</v>
      </c>
      <c r="L4" t="s">
        <v>19</v>
      </c>
    </row>
    <row r="5" spans="1:12" x14ac:dyDescent="0.3">
      <c r="A5" s="22"/>
      <c r="B5" s="22" t="s">
        <v>305</v>
      </c>
      <c r="C5" t="s">
        <v>20</v>
      </c>
      <c r="D5">
        <v>1</v>
      </c>
      <c r="E5">
        <v>63.654024200000002</v>
      </c>
      <c r="F5">
        <v>10.066431400000001</v>
      </c>
      <c r="G5" t="s">
        <v>11</v>
      </c>
      <c r="H5">
        <v>5</v>
      </c>
      <c r="I5" t="s">
        <v>12</v>
      </c>
      <c r="J5" t="s">
        <v>13</v>
      </c>
      <c r="K5" t="s">
        <v>14</v>
      </c>
      <c r="L5" t="s">
        <v>17</v>
      </c>
    </row>
    <row r="6" spans="1:12" x14ac:dyDescent="0.3">
      <c r="A6" s="22"/>
      <c r="B6" s="22" t="s">
        <v>306</v>
      </c>
      <c r="C6" t="s">
        <v>21</v>
      </c>
      <c r="D6">
        <v>1</v>
      </c>
      <c r="E6">
        <v>63.286461099999997</v>
      </c>
      <c r="F6">
        <v>10.802471300000001</v>
      </c>
      <c r="G6" t="s">
        <v>11</v>
      </c>
      <c r="H6">
        <v>5</v>
      </c>
      <c r="I6" t="s">
        <v>12</v>
      </c>
      <c r="J6" t="s">
        <v>13</v>
      </c>
      <c r="K6" t="s">
        <v>14</v>
      </c>
      <c r="L6" t="s">
        <v>22</v>
      </c>
    </row>
    <row r="7" spans="1:12" x14ac:dyDescent="0.3">
      <c r="A7" s="22"/>
      <c r="B7" s="22" t="s">
        <v>307</v>
      </c>
      <c r="C7" t="s">
        <v>23</v>
      </c>
      <c r="D7">
        <v>1</v>
      </c>
      <c r="E7">
        <v>63.621177600000003</v>
      </c>
      <c r="F7">
        <v>10.2333759</v>
      </c>
      <c r="G7" t="s">
        <v>11</v>
      </c>
      <c r="H7">
        <v>5</v>
      </c>
      <c r="I7" t="s">
        <v>12</v>
      </c>
      <c r="J7" t="s">
        <v>13</v>
      </c>
      <c r="K7" t="s">
        <v>24</v>
      </c>
      <c r="L7" t="s">
        <v>17</v>
      </c>
    </row>
  </sheetData>
  <phoneticPr fontId="16" type="noConversion"/>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topLeftCell="A4" workbookViewId="0">
      <selection activeCell="B33" sqref="B33"/>
    </sheetView>
  </sheetViews>
  <sheetFormatPr defaultColWidth="10.8984375" defaultRowHeight="15.6" x14ac:dyDescent="0.3"/>
  <cols>
    <col min="1" max="1" width="27.09765625" customWidth="1"/>
    <col min="2" max="2" width="84.3984375" customWidth="1"/>
  </cols>
  <sheetData>
    <row r="1" spans="1:3" x14ac:dyDescent="0.3">
      <c r="A1" s="15"/>
      <c r="B1" s="8" t="s">
        <v>189</v>
      </c>
    </row>
    <row r="2" spans="1:3" ht="21" x14ac:dyDescent="0.4">
      <c r="A2" s="16"/>
      <c r="B2" s="9" t="s">
        <v>190</v>
      </c>
    </row>
    <row r="3" spans="1:3" x14ac:dyDescent="0.3">
      <c r="A3" s="16"/>
      <c r="B3" s="11"/>
    </row>
    <row r="4" spans="1:3" ht="78" x14ac:dyDescent="0.3">
      <c r="A4" s="16"/>
      <c r="B4" s="12" t="s">
        <v>191</v>
      </c>
    </row>
    <row r="5" spans="1:3" x14ac:dyDescent="0.3">
      <c r="A5" s="16"/>
      <c r="B5" s="13"/>
    </row>
    <row r="6" spans="1:3" ht="16.2" thickBot="1" x14ac:dyDescent="0.35">
      <c r="A6" s="17" t="s">
        <v>192</v>
      </c>
      <c r="B6" s="14" t="s">
        <v>193</v>
      </c>
    </row>
    <row r="7" spans="1:3" ht="78" x14ac:dyDescent="0.3">
      <c r="A7" s="10" t="s">
        <v>194</v>
      </c>
      <c r="B7" s="5" t="s">
        <v>195</v>
      </c>
    </row>
    <row r="8" spans="1:3" x14ac:dyDescent="0.3">
      <c r="A8" s="10"/>
      <c r="B8" s="7" t="s">
        <v>196</v>
      </c>
    </row>
    <row r="9" spans="1:3" ht="31.2" x14ac:dyDescent="0.3">
      <c r="A9" s="10"/>
      <c r="B9" s="6" t="s">
        <v>197</v>
      </c>
    </row>
    <row r="10" spans="1:3" ht="31.2" x14ac:dyDescent="0.3">
      <c r="A10" s="10"/>
      <c r="B10" s="5" t="s">
        <v>198</v>
      </c>
    </row>
    <row r="11" spans="1:3" ht="31.2" x14ac:dyDescent="0.3">
      <c r="A11" s="10"/>
      <c r="B11" s="5" t="s">
        <v>199</v>
      </c>
      <c r="C11" t="s">
        <v>311</v>
      </c>
    </row>
    <row r="12" spans="1:3" x14ac:dyDescent="0.3">
      <c r="A12" s="10"/>
      <c r="B12" s="18" t="s">
        <v>200</v>
      </c>
    </row>
    <row r="13" spans="1:3" ht="54.9" customHeight="1" x14ac:dyDescent="0.3">
      <c r="A13" s="10"/>
    </row>
    <row r="14" spans="1:3" ht="109.2" x14ac:dyDescent="0.3">
      <c r="A14" s="10" t="s">
        <v>201</v>
      </c>
      <c r="B14" s="5" t="s">
        <v>202</v>
      </c>
    </row>
    <row r="15" spans="1:3" x14ac:dyDescent="0.3">
      <c r="A15" s="4"/>
      <c r="B15" s="7" t="s">
        <v>196</v>
      </c>
    </row>
    <row r="16" spans="1:3" ht="31.2" x14ac:dyDescent="0.3">
      <c r="B16" s="6" t="s">
        <v>197</v>
      </c>
    </row>
    <row r="17" spans="1:2" ht="31.2" x14ac:dyDescent="0.3">
      <c r="B17" s="5" t="s">
        <v>203</v>
      </c>
    </row>
    <row r="18" spans="1:2" ht="31.2" x14ac:dyDescent="0.3">
      <c r="B18" s="5" t="s">
        <v>199</v>
      </c>
    </row>
    <row r="19" spans="1:2" x14ac:dyDescent="0.3">
      <c r="B19" s="18" t="s">
        <v>200</v>
      </c>
    </row>
    <row r="23" spans="1:2" x14ac:dyDescent="0.3">
      <c r="A23" t="s">
        <v>204</v>
      </c>
    </row>
    <row r="24" spans="1:2" x14ac:dyDescent="0.3">
      <c r="A24" t="s">
        <v>205</v>
      </c>
    </row>
    <row r="25" spans="1:2" x14ac:dyDescent="0.3">
      <c r="A25" t="s">
        <v>206</v>
      </c>
    </row>
    <row r="26" spans="1:2" x14ac:dyDescent="0.3">
      <c r="A26" t="s">
        <v>207</v>
      </c>
    </row>
    <row r="28" spans="1:2" x14ac:dyDescent="0.3">
      <c r="A28" t="s">
        <v>310</v>
      </c>
    </row>
    <row r="29" spans="1:2" x14ac:dyDescent="0.3">
      <c r="A29" t="s">
        <v>312</v>
      </c>
    </row>
    <row r="30" spans="1:2" x14ac:dyDescent="0.3">
      <c r="A30" t="s">
        <v>313</v>
      </c>
    </row>
    <row r="31" spans="1:2" x14ac:dyDescent="0.3">
      <c r="A31" t="s">
        <v>314</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0b39a67-b605-444a-a1b7-54399609733b">
      <Terms xmlns="http://schemas.microsoft.com/office/infopath/2007/PartnerControls"/>
    </lcf76f155ced4ddcb4097134ff3c332f>
    <TaxCatchAll xmlns="e7daefaf-87e9-4189-9db7-4371966a9c2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916AA1953C280448358D3570BBB1276" ma:contentTypeVersion="15" ma:contentTypeDescription="Create a new document." ma:contentTypeScope="" ma:versionID="da271729833da64e76da5ba048089219">
  <xsd:schema xmlns:xsd="http://www.w3.org/2001/XMLSchema" xmlns:xs="http://www.w3.org/2001/XMLSchema" xmlns:p="http://schemas.microsoft.com/office/2006/metadata/properties" xmlns:ns2="90b39a67-b605-444a-a1b7-54399609733b" xmlns:ns3="e7daefaf-87e9-4189-9db7-4371966a9c28" targetNamespace="http://schemas.microsoft.com/office/2006/metadata/properties" ma:root="true" ma:fieldsID="a8b783c3064d9ac620a6a891893a2ed0" ns2:_="" ns3:_="">
    <xsd:import namespace="90b39a67-b605-444a-a1b7-54399609733b"/>
    <xsd:import namespace="e7daefaf-87e9-4189-9db7-4371966a9c2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b39a67-b605-444a-a1b7-5439960973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e7bc199-5fe5-462f-a3d8-26f806c1f49a"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daefaf-87e9-4189-9db7-4371966a9c2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f1f3c9b-306a-465a-93c1-9fe4c915b76f}" ma:internalName="TaxCatchAll" ma:showField="CatchAllData" ma:web="e7daefaf-87e9-4189-9db7-4371966a9c28">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8371B1-AFF0-4F86-A550-C214CF27CFD6}">
  <ds:schemaRefs>
    <ds:schemaRef ds:uri="http://schemas.microsoft.com/office/2006/metadata/properties"/>
    <ds:schemaRef ds:uri="e7daefaf-87e9-4189-9db7-4371966a9c28"/>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90b39a67-b605-444a-a1b7-54399609733b"/>
    <ds:schemaRef ds:uri="http://www.w3.org/XML/1998/namespace"/>
    <ds:schemaRef ds:uri="http://purl.org/dc/dcmitype/"/>
  </ds:schemaRefs>
</ds:datastoreItem>
</file>

<file path=customXml/itemProps2.xml><?xml version="1.0" encoding="utf-8"?>
<ds:datastoreItem xmlns:ds="http://schemas.openxmlformats.org/officeDocument/2006/customXml" ds:itemID="{8EE94A5A-86E5-4E1B-B3D0-83354DD75E71}">
  <ds:schemaRefs>
    <ds:schemaRef ds:uri="http://schemas.microsoft.com/sharepoint/v3/contenttype/forms"/>
  </ds:schemaRefs>
</ds:datastoreItem>
</file>

<file path=customXml/itemProps3.xml><?xml version="1.0" encoding="utf-8"?>
<ds:datastoreItem xmlns:ds="http://schemas.openxmlformats.org/officeDocument/2006/customXml" ds:itemID="{F874E370-49D8-45B7-8588-6E25FEDA89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b39a67-b605-444a-a1b7-54399609733b"/>
    <ds:schemaRef ds:uri="e7daefaf-87e9-4189-9db7-4371966a9c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Rekneark</vt:lpstr>
      </vt:variant>
      <vt:variant>
        <vt:i4>4</vt:i4>
      </vt:variant>
    </vt:vector>
  </HeadingPairs>
  <TitlesOfParts>
    <vt:vector size="4" baseType="lpstr">
      <vt:lpstr>events</vt:lpstr>
      <vt:lpstr>parent_events</vt:lpstr>
      <vt:lpstr>localities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Christianne Dalsbotten Solvåg</cp:lastModifiedBy>
  <cp:revision/>
  <dcterms:created xsi:type="dcterms:W3CDTF">2016-02-03T10:16:16Z</dcterms:created>
  <dcterms:modified xsi:type="dcterms:W3CDTF">2026-04-30T07:21:33Z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0x0101009916AA1953C280448358D3570BBB1276</vt:lpwstr>
  </property>
  <property fmtid="{D5CDD505-2E9C-101B-9397-08002B2CF9AE}" pid="3" name="MediaServiceImageTags">
    <vt:lpwstr/>
  </property>
</Properties>
</file>