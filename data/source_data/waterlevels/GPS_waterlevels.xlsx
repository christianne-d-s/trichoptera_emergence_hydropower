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dso\kode\trichoptera_emergence_timing\data\source_data\waterlevels\"/>
    </mc:Choice>
  </mc:AlternateContent>
  <xr:revisionPtr revIDLastSave="0" documentId="8_{3367C92F-1584-4409-90AD-BA4C74F233F2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GPS" sheetId="1" r:id="rId1"/>
    <sheet name="Data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" l="1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20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3" i="2"/>
  <c r="J3" i="2" s="1"/>
  <c r="I4" i="2"/>
  <c r="J4" i="2" s="1"/>
  <c r="I2" i="2"/>
  <c r="J2" i="2" s="1"/>
</calcChain>
</file>

<file path=xl/sharedStrings.xml><?xml version="1.0" encoding="utf-8"?>
<sst xmlns="http://schemas.openxmlformats.org/spreadsheetml/2006/main" count="107" uniqueCount="64">
  <si>
    <t>Lokasjon</t>
  </si>
  <si>
    <t>Dato</t>
  </si>
  <si>
    <t>Tid</t>
  </si>
  <si>
    <t>Høyde (m)</t>
  </si>
  <si>
    <t>Nord</t>
  </si>
  <si>
    <t>Øst</t>
  </si>
  <si>
    <t>Horisontal presisjon (m)</t>
  </si>
  <si>
    <t>Vertikal presisjon (m)</t>
  </si>
  <si>
    <t>Lagret som</t>
  </si>
  <si>
    <t>Observasjonsklasse</t>
  </si>
  <si>
    <t>Høyde_Innsjødatabase_NVE (moh, NN54)</t>
  </si>
  <si>
    <t>Notat</t>
  </si>
  <si>
    <t>Barsetvatnet</t>
  </si>
  <si>
    <t>60.478</t>
  </si>
  <si>
    <t>7074754.384</t>
  </si>
  <si>
    <t>540788.591</t>
  </si>
  <si>
    <t>0.005</t>
  </si>
  <si>
    <t>0.009</t>
  </si>
  <si>
    <t>ECEF (WGS84)</t>
  </si>
  <si>
    <t>Wide area fixed</t>
  </si>
  <si>
    <t>Roksetvatnet</t>
  </si>
  <si>
    <t>192.024</t>
  </si>
  <si>
    <t>7058888.153</t>
  </si>
  <si>
    <t>552800.212</t>
  </si>
  <si>
    <t>0.013</t>
  </si>
  <si>
    <t>0.024</t>
  </si>
  <si>
    <t>Kilvatnet-2508C</t>
  </si>
  <si>
    <t>148.668</t>
  </si>
  <si>
    <t>7024942.011</t>
  </si>
  <si>
    <t>577586.396</t>
  </si>
  <si>
    <t>0.007</t>
  </si>
  <si>
    <t>Kilvatnet-250823</t>
  </si>
  <si>
    <t>148.690</t>
  </si>
  <si>
    <t>7024941.996</t>
  </si>
  <si>
    <t>577586.399</t>
  </si>
  <si>
    <t>0.014</t>
  </si>
  <si>
    <t>0.015</t>
  </si>
  <si>
    <t>Lennart anbefalte HRENN2000 som mount point</t>
  </si>
  <si>
    <t>locality</t>
  </si>
  <si>
    <t>year</t>
  </si>
  <si>
    <t>lake_altitude_masl</t>
  </si>
  <si>
    <t>waterlevel_cm</t>
  </si>
  <si>
    <t>Kilvatnet</t>
  </si>
  <si>
    <t>lakebottom_measurepoint_masl</t>
  </si>
  <si>
    <t>waterlevel_masl</t>
  </si>
  <si>
    <t>waterlevel_m</t>
  </si>
  <si>
    <t>eventDate</t>
  </si>
  <si>
    <t>month</t>
  </si>
  <si>
    <t>day</t>
  </si>
  <si>
    <t>Kilvatnet-130924</t>
  </si>
  <si>
    <t>148.627</t>
  </si>
  <si>
    <t>7024941.840</t>
  </si>
  <si>
    <t>577586.899</t>
  </si>
  <si>
    <t>0.023</t>
  </si>
  <si>
    <t>0.049</t>
  </si>
  <si>
    <t>Barset-130924</t>
  </si>
  <si>
    <t>60.390</t>
  </si>
  <si>
    <t>7074757.663</t>
  </si>
  <si>
    <t>540786.755</t>
  </si>
  <si>
    <t>0.017</t>
  </si>
  <si>
    <t>Rokset-130924</t>
  </si>
  <si>
    <t>191.997</t>
  </si>
  <si>
    <t>7058883.988</t>
  </si>
  <si>
    <t>552799.461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</si>
</sst>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D94320-CCA4-47A1-8396-4C3F26B1F3F4}" name="Table1" displayName="Table1" ref="A3:L15" totalsRowShown="0" headerRowDxfId="0">
  <autoFilter ref="A3:L15" xr:uid="{44D94320-CCA4-47A1-8396-4C3F26B1F3F4}"/>
  <tableColumns count="12">
    <tableColumn id="1" xr3:uid="{DA266A94-0E80-42C5-82CF-4FD9EBB96A83}" name="Lokasjon"/>
    <tableColumn id="2" xr3:uid="{95CAED55-B77B-42C1-8C28-4AA41ABFBD51}" name="Dato"/>
    <tableColumn id="3" xr3:uid="{E80C191B-8380-44F8-ADC2-4699056129D5}" name="Tid"/>
    <tableColumn id="4" xr3:uid="{ADDB7C8D-8306-4559-A290-958357614F98}" name="Høyde (m)"/>
    <tableColumn id="5" xr3:uid="{04CBA806-CAE9-4C5E-AFDD-91BBFA6B8A68}" name="Nord"/>
    <tableColumn id="6" xr3:uid="{6897CCD2-01D9-4853-BA46-BFA32288A761}" name="Øst"/>
    <tableColumn id="7" xr3:uid="{C148DFD0-228D-4AEC-B759-C93150A69AAD}" name="Horisontal presisjon (m)"/>
    <tableColumn id="8" xr3:uid="{1061262F-DDAD-42C5-8C07-F03305387127}" name="Vertikal presisjon (m)"/>
    <tableColumn id="9" xr3:uid="{6F09994C-D240-4520-9DDE-C6D4FA8B3407}" name="Lagret som"/>
    <tableColumn id="10" xr3:uid="{8BE6E3F0-1A93-4804-BE6F-D41F915EC19C}" name="Observasjonsklasse"/>
    <tableColumn id="11" xr3:uid="{7F8B45FE-3865-4DCA-A403-9997365C9721}" name="Høyde_Innsjødatabase_NVE (moh, NN54)"/>
    <tableColumn id="12" xr3:uid="{B6E0AFEA-B3D9-4E46-9344-0D95562EC95F}" name="Nota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N19"/>
  <sheetViews>
    <sheetView workbookViewId="0">
      <selection activeCell="F21" sqref="F21"/>
    </sheetView>
  </sheetViews>
  <sheetFormatPr defaultRowHeight="14.4" x14ac:dyDescent="0.3"/>
  <cols>
    <col min="1" max="1" width="16.109375" bestFit="1" customWidth="1"/>
    <col min="2" max="2" width="10.88671875" bestFit="1" customWidth="1"/>
    <col min="3" max="3" width="9.88671875" customWidth="1"/>
    <col min="4" max="4" width="12.6640625" bestFit="1" customWidth="1"/>
    <col min="5" max="5" width="15.44140625" customWidth="1"/>
    <col min="6" max="6" width="13.44140625" customWidth="1"/>
    <col min="7" max="7" width="25.33203125" bestFit="1" customWidth="1"/>
    <col min="8" max="8" width="22.88671875" bestFit="1" customWidth="1"/>
    <col min="9" max="9" width="13.6640625" bestFit="1" customWidth="1"/>
    <col min="10" max="10" width="21" bestFit="1" customWidth="1"/>
    <col min="11" max="11" width="36.6640625" customWidth="1"/>
    <col min="12" max="12" width="16" customWidth="1"/>
  </cols>
  <sheetData>
    <row r="3" spans="1:14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/>
      <c r="N3" s="3"/>
    </row>
    <row r="4" spans="1:14" x14ac:dyDescent="0.3">
      <c r="A4" t="s">
        <v>12</v>
      </c>
      <c r="B4" s="1">
        <v>45163</v>
      </c>
      <c r="C4" s="2">
        <v>0.72530092592592599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>
        <v>60</v>
      </c>
    </row>
    <row r="5" spans="1:14" x14ac:dyDescent="0.3">
      <c r="A5" t="s">
        <v>20</v>
      </c>
      <c r="B5" s="1">
        <v>45163</v>
      </c>
      <c r="C5" s="2">
        <v>0.79359953703703701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18</v>
      </c>
      <c r="J5" t="s">
        <v>19</v>
      </c>
      <c r="K5">
        <v>193</v>
      </c>
    </row>
    <row r="6" spans="1:14" x14ac:dyDescent="0.3">
      <c r="A6" t="s">
        <v>26</v>
      </c>
      <c r="B6" s="1">
        <v>45163</v>
      </c>
      <c r="C6" s="2">
        <v>0.46993055555555552</v>
      </c>
      <c r="D6" t="s">
        <v>27</v>
      </c>
      <c r="E6" t="s">
        <v>28</v>
      </c>
      <c r="F6" t="s">
        <v>29</v>
      </c>
      <c r="G6" t="s">
        <v>30</v>
      </c>
      <c r="H6" t="s">
        <v>17</v>
      </c>
      <c r="I6" t="s">
        <v>18</v>
      </c>
      <c r="J6" t="s">
        <v>19</v>
      </c>
      <c r="K6">
        <v>149.35</v>
      </c>
    </row>
    <row r="7" spans="1:14" x14ac:dyDescent="0.3">
      <c r="A7" t="s">
        <v>31</v>
      </c>
      <c r="B7" s="1">
        <v>45163</v>
      </c>
      <c r="C7" s="2">
        <v>0.46446759259259257</v>
      </c>
      <c r="D7" t="s">
        <v>32</v>
      </c>
      <c r="E7" t="s">
        <v>33</v>
      </c>
      <c r="F7" t="s">
        <v>34</v>
      </c>
      <c r="G7" t="s">
        <v>35</v>
      </c>
      <c r="H7" t="s">
        <v>36</v>
      </c>
      <c r="I7" t="s">
        <v>18</v>
      </c>
      <c r="J7" t="s">
        <v>19</v>
      </c>
    </row>
    <row r="8" spans="1:14" x14ac:dyDescent="0.3">
      <c r="A8" t="s">
        <v>49</v>
      </c>
      <c r="B8" s="1">
        <v>45548</v>
      </c>
      <c r="D8" t="s">
        <v>50</v>
      </c>
      <c r="E8" t="s">
        <v>51</v>
      </c>
      <c r="F8" t="s">
        <v>52</v>
      </c>
      <c r="G8" t="s">
        <v>53</v>
      </c>
      <c r="H8" t="s">
        <v>54</v>
      </c>
    </row>
    <row r="9" spans="1:14" x14ac:dyDescent="0.3">
      <c r="A9" t="s">
        <v>55</v>
      </c>
      <c r="B9" s="1">
        <v>45548</v>
      </c>
      <c r="D9" t="s">
        <v>56</v>
      </c>
      <c r="E9" t="s">
        <v>57</v>
      </c>
      <c r="F9" t="s">
        <v>58</v>
      </c>
      <c r="G9" t="s">
        <v>30</v>
      </c>
      <c r="H9" t="s">
        <v>36</v>
      </c>
      <c r="J9" t="s">
        <v>19</v>
      </c>
    </row>
    <row r="10" spans="1:14" x14ac:dyDescent="0.3">
      <c r="A10" t="s">
        <v>60</v>
      </c>
      <c r="B10" s="1">
        <v>45548</v>
      </c>
      <c r="D10" t="s">
        <v>61</v>
      </c>
      <c r="E10" t="s">
        <v>62</v>
      </c>
      <c r="F10" t="s">
        <v>63</v>
      </c>
      <c r="G10" t="s">
        <v>17</v>
      </c>
      <c r="H10" t="s">
        <v>59</v>
      </c>
    </row>
    <row r="19" spans="1:1" x14ac:dyDescent="0.3">
      <c r="A19" t="s">
        <v>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4BFFE-894A-414B-BF9C-0C2FF975AFCA}">
  <dimension ref="A1:J50"/>
  <sheetViews>
    <sheetView tabSelected="1" workbookViewId="0">
      <selection activeCell="B34" sqref="B34"/>
    </sheetView>
  </sheetViews>
  <sheetFormatPr defaultRowHeight="14.4" x14ac:dyDescent="0.3"/>
  <cols>
    <col min="1" max="1" width="17.109375" customWidth="1"/>
    <col min="2" max="5" width="17.88671875" customWidth="1"/>
    <col min="6" max="6" width="22.33203125" customWidth="1"/>
    <col min="7" max="7" width="32.44140625" customWidth="1"/>
    <col min="8" max="8" width="18.44140625" customWidth="1"/>
    <col min="9" max="9" width="19.33203125" customWidth="1"/>
    <col min="10" max="10" width="16.44140625" customWidth="1"/>
  </cols>
  <sheetData>
    <row r="1" spans="1:10" x14ac:dyDescent="0.3">
      <c r="A1" t="s">
        <v>38</v>
      </c>
      <c r="B1" t="s">
        <v>46</v>
      </c>
      <c r="C1" t="s">
        <v>39</v>
      </c>
      <c r="D1" t="s">
        <v>47</v>
      </c>
      <c r="E1" t="s">
        <v>48</v>
      </c>
      <c r="F1" t="s">
        <v>40</v>
      </c>
      <c r="G1" t="s">
        <v>43</v>
      </c>
      <c r="H1" t="s">
        <v>41</v>
      </c>
      <c r="I1" t="s">
        <v>45</v>
      </c>
      <c r="J1" t="s">
        <v>44</v>
      </c>
    </row>
    <row r="2" spans="1:10" x14ac:dyDescent="0.3">
      <c r="A2" t="s">
        <v>12</v>
      </c>
      <c r="B2" s="4">
        <v>45051</v>
      </c>
      <c r="C2">
        <v>2023</v>
      </c>
      <c r="D2">
        <v>5</v>
      </c>
      <c r="E2">
        <v>5</v>
      </c>
      <c r="F2">
        <v>60</v>
      </c>
      <c r="G2">
        <v>60.478000000000002</v>
      </c>
      <c r="H2">
        <v>72.5</v>
      </c>
      <c r="I2">
        <f>H2/100</f>
        <v>0.72499999999999998</v>
      </c>
      <c r="J2">
        <f>G2+I2</f>
        <v>61.203000000000003</v>
      </c>
    </row>
    <row r="3" spans="1:10" x14ac:dyDescent="0.3">
      <c r="A3" t="s">
        <v>12</v>
      </c>
      <c r="B3" s="4">
        <v>45068</v>
      </c>
      <c r="C3">
        <v>2023</v>
      </c>
      <c r="D3">
        <v>5</v>
      </c>
      <c r="E3">
        <v>22</v>
      </c>
      <c r="F3">
        <v>60</v>
      </c>
      <c r="G3">
        <v>60.478000000000002</v>
      </c>
      <c r="H3">
        <v>66</v>
      </c>
      <c r="I3">
        <f t="shared" ref="I3:I34" si="0">H3/100</f>
        <v>0.66</v>
      </c>
      <c r="J3">
        <f t="shared" ref="J3:J34" si="1">G3+I3</f>
        <v>61.137999999999998</v>
      </c>
    </row>
    <row r="4" spans="1:10" x14ac:dyDescent="0.3">
      <c r="A4" t="s">
        <v>12</v>
      </c>
      <c r="B4" s="4">
        <v>45085</v>
      </c>
      <c r="C4">
        <v>2023</v>
      </c>
      <c r="D4">
        <v>6</v>
      </c>
      <c r="E4">
        <v>8</v>
      </c>
      <c r="F4">
        <v>60</v>
      </c>
      <c r="G4">
        <v>60.478000000000002</v>
      </c>
      <c r="H4">
        <v>74</v>
      </c>
      <c r="I4">
        <f t="shared" si="0"/>
        <v>0.74</v>
      </c>
      <c r="J4">
        <f t="shared" si="1"/>
        <v>61.218000000000004</v>
      </c>
    </row>
    <row r="5" spans="1:10" x14ac:dyDescent="0.3">
      <c r="A5" t="s">
        <v>12</v>
      </c>
      <c r="B5" s="4">
        <v>45098</v>
      </c>
      <c r="C5">
        <v>2023</v>
      </c>
      <c r="D5">
        <v>6</v>
      </c>
      <c r="E5">
        <v>21</v>
      </c>
      <c r="F5">
        <v>60</v>
      </c>
      <c r="G5">
        <v>60.478000000000002</v>
      </c>
      <c r="H5">
        <v>64</v>
      </c>
      <c r="I5">
        <f t="shared" si="0"/>
        <v>0.64</v>
      </c>
      <c r="J5">
        <f t="shared" si="1"/>
        <v>61.118000000000002</v>
      </c>
    </row>
    <row r="6" spans="1:10" x14ac:dyDescent="0.3">
      <c r="A6" t="s">
        <v>12</v>
      </c>
      <c r="B6" s="4">
        <v>45116</v>
      </c>
      <c r="C6">
        <v>2023</v>
      </c>
      <c r="D6">
        <v>7</v>
      </c>
      <c r="E6">
        <v>9</v>
      </c>
      <c r="F6">
        <v>60</v>
      </c>
      <c r="G6">
        <v>60.478000000000002</v>
      </c>
      <c r="H6">
        <v>56</v>
      </c>
      <c r="I6">
        <f t="shared" si="0"/>
        <v>0.56000000000000005</v>
      </c>
      <c r="J6">
        <f t="shared" si="1"/>
        <v>61.038000000000004</v>
      </c>
    </row>
    <row r="7" spans="1:10" x14ac:dyDescent="0.3">
      <c r="A7" t="s">
        <v>12</v>
      </c>
      <c r="B7" s="4">
        <v>45163</v>
      </c>
      <c r="C7">
        <v>2023</v>
      </c>
      <c r="D7">
        <v>8</v>
      </c>
      <c r="E7">
        <v>25</v>
      </c>
      <c r="F7">
        <v>60</v>
      </c>
      <c r="G7">
        <v>60.478000000000002</v>
      </c>
      <c r="H7">
        <v>45</v>
      </c>
      <c r="I7">
        <f t="shared" si="0"/>
        <v>0.45</v>
      </c>
      <c r="J7">
        <f t="shared" si="1"/>
        <v>60.928000000000004</v>
      </c>
    </row>
    <row r="8" spans="1:10" x14ac:dyDescent="0.3">
      <c r="A8" t="s">
        <v>42</v>
      </c>
      <c r="B8" s="4">
        <v>45057</v>
      </c>
      <c r="C8">
        <v>2023</v>
      </c>
      <c r="D8">
        <v>5</v>
      </c>
      <c r="E8">
        <v>11</v>
      </c>
      <c r="F8">
        <v>149.35</v>
      </c>
      <c r="G8">
        <v>148.66800000000001</v>
      </c>
      <c r="H8">
        <v>67.5</v>
      </c>
      <c r="I8">
        <f t="shared" si="0"/>
        <v>0.67500000000000004</v>
      </c>
      <c r="J8">
        <f t="shared" si="1"/>
        <v>149.34300000000002</v>
      </c>
    </row>
    <row r="9" spans="1:10" x14ac:dyDescent="0.3">
      <c r="A9" t="s">
        <v>42</v>
      </c>
      <c r="B9" s="4">
        <v>45070</v>
      </c>
      <c r="C9">
        <v>2023</v>
      </c>
      <c r="D9">
        <v>5</v>
      </c>
      <c r="E9">
        <v>24</v>
      </c>
      <c r="F9">
        <v>149.35</v>
      </c>
      <c r="G9">
        <v>148.66800000000001</v>
      </c>
      <c r="H9">
        <v>51</v>
      </c>
      <c r="I9">
        <f t="shared" si="0"/>
        <v>0.51</v>
      </c>
      <c r="J9">
        <f t="shared" si="1"/>
        <v>149.178</v>
      </c>
    </row>
    <row r="10" spans="1:10" x14ac:dyDescent="0.3">
      <c r="A10" t="s">
        <v>42</v>
      </c>
      <c r="B10" s="4">
        <v>45084</v>
      </c>
      <c r="C10">
        <v>2023</v>
      </c>
      <c r="D10">
        <v>6</v>
      </c>
      <c r="E10">
        <v>7</v>
      </c>
      <c r="F10">
        <v>149.35</v>
      </c>
      <c r="G10">
        <v>148.66800000000001</v>
      </c>
      <c r="H10">
        <v>45</v>
      </c>
      <c r="I10">
        <f t="shared" si="0"/>
        <v>0.45</v>
      </c>
      <c r="J10">
        <f t="shared" si="1"/>
        <v>149.11799999999999</v>
      </c>
    </row>
    <row r="11" spans="1:10" x14ac:dyDescent="0.3">
      <c r="A11" t="s">
        <v>42</v>
      </c>
      <c r="B11" s="4">
        <v>45097</v>
      </c>
      <c r="C11">
        <v>2023</v>
      </c>
      <c r="D11">
        <v>6</v>
      </c>
      <c r="E11">
        <v>20</v>
      </c>
      <c r="F11">
        <v>149.35</v>
      </c>
      <c r="G11">
        <v>148.66800000000001</v>
      </c>
      <c r="H11">
        <v>40</v>
      </c>
      <c r="I11">
        <f t="shared" si="0"/>
        <v>0.4</v>
      </c>
      <c r="J11">
        <f t="shared" si="1"/>
        <v>149.06800000000001</v>
      </c>
    </row>
    <row r="12" spans="1:10" x14ac:dyDescent="0.3">
      <c r="A12" t="s">
        <v>42</v>
      </c>
      <c r="B12" s="4">
        <v>45116</v>
      </c>
      <c r="C12">
        <v>2023</v>
      </c>
      <c r="D12">
        <v>7</v>
      </c>
      <c r="E12">
        <v>9</v>
      </c>
      <c r="F12">
        <v>149.35</v>
      </c>
      <c r="G12">
        <v>148.66800000000001</v>
      </c>
      <c r="H12">
        <v>35</v>
      </c>
      <c r="I12">
        <f t="shared" si="0"/>
        <v>0.35</v>
      </c>
      <c r="J12">
        <f t="shared" si="1"/>
        <v>149.018</v>
      </c>
    </row>
    <row r="13" spans="1:10" x14ac:dyDescent="0.3">
      <c r="A13" t="s">
        <v>42</v>
      </c>
      <c r="B13" s="4">
        <v>45163</v>
      </c>
      <c r="C13">
        <v>2023</v>
      </c>
      <c r="D13">
        <v>8</v>
      </c>
      <c r="E13">
        <v>25</v>
      </c>
      <c r="F13">
        <v>149.35</v>
      </c>
      <c r="G13">
        <v>148.66800000000001</v>
      </c>
      <c r="H13">
        <v>46.5</v>
      </c>
      <c r="I13">
        <f t="shared" si="0"/>
        <v>0.46500000000000002</v>
      </c>
      <c r="J13">
        <f t="shared" si="1"/>
        <v>149.13300000000001</v>
      </c>
    </row>
    <row r="14" spans="1:10" x14ac:dyDescent="0.3">
      <c r="A14" t="s">
        <v>20</v>
      </c>
      <c r="B14" s="4">
        <v>45053</v>
      </c>
      <c r="C14">
        <v>2023</v>
      </c>
      <c r="D14">
        <v>5</v>
      </c>
      <c r="E14">
        <v>7</v>
      </c>
      <c r="F14">
        <v>193</v>
      </c>
      <c r="G14">
        <v>192.024</v>
      </c>
      <c r="H14">
        <v>49</v>
      </c>
      <c r="I14">
        <f t="shared" si="0"/>
        <v>0.49</v>
      </c>
      <c r="J14">
        <f t="shared" si="1"/>
        <v>192.51400000000001</v>
      </c>
    </row>
    <row r="15" spans="1:10" x14ac:dyDescent="0.3">
      <c r="A15" t="s">
        <v>20</v>
      </c>
      <c r="B15" s="4">
        <v>45068</v>
      </c>
      <c r="C15">
        <v>2023</v>
      </c>
      <c r="D15">
        <v>5</v>
      </c>
      <c r="E15">
        <v>22</v>
      </c>
      <c r="F15">
        <v>193</v>
      </c>
      <c r="G15">
        <v>192.024</v>
      </c>
      <c r="H15">
        <v>45</v>
      </c>
      <c r="I15">
        <f t="shared" si="0"/>
        <v>0.45</v>
      </c>
      <c r="J15">
        <f t="shared" si="1"/>
        <v>192.47399999999999</v>
      </c>
    </row>
    <row r="16" spans="1:10" x14ac:dyDescent="0.3">
      <c r="A16" t="s">
        <v>20</v>
      </c>
      <c r="B16" s="4">
        <v>45085</v>
      </c>
      <c r="C16">
        <v>2023</v>
      </c>
      <c r="D16">
        <v>6</v>
      </c>
      <c r="E16">
        <v>8</v>
      </c>
      <c r="F16">
        <v>193</v>
      </c>
      <c r="G16">
        <v>192.024</v>
      </c>
      <c r="H16">
        <v>61</v>
      </c>
      <c r="I16">
        <f t="shared" si="0"/>
        <v>0.61</v>
      </c>
      <c r="J16">
        <f t="shared" si="1"/>
        <v>192.63400000000001</v>
      </c>
    </row>
    <row r="17" spans="1:10" x14ac:dyDescent="0.3">
      <c r="A17" t="s">
        <v>20</v>
      </c>
      <c r="B17" s="4">
        <v>45098</v>
      </c>
      <c r="C17">
        <v>2023</v>
      </c>
      <c r="D17">
        <v>6</v>
      </c>
      <c r="E17">
        <v>21</v>
      </c>
      <c r="F17">
        <v>193</v>
      </c>
      <c r="G17">
        <v>192.024</v>
      </c>
      <c r="H17">
        <v>33</v>
      </c>
      <c r="I17">
        <f t="shared" si="0"/>
        <v>0.33</v>
      </c>
      <c r="J17">
        <f t="shared" si="1"/>
        <v>192.35400000000001</v>
      </c>
    </row>
    <row r="18" spans="1:10" x14ac:dyDescent="0.3">
      <c r="A18" t="s">
        <v>20</v>
      </c>
      <c r="B18" s="4">
        <v>45116</v>
      </c>
      <c r="C18">
        <v>2023</v>
      </c>
      <c r="D18">
        <v>7</v>
      </c>
      <c r="E18">
        <v>9</v>
      </c>
      <c r="F18">
        <v>193</v>
      </c>
      <c r="G18">
        <v>192.024</v>
      </c>
      <c r="H18">
        <v>29</v>
      </c>
      <c r="I18">
        <f t="shared" si="0"/>
        <v>0.28999999999999998</v>
      </c>
      <c r="J18">
        <f t="shared" si="1"/>
        <v>192.31399999999999</v>
      </c>
    </row>
    <row r="19" spans="1:10" x14ac:dyDescent="0.3">
      <c r="A19" t="s">
        <v>20</v>
      </c>
      <c r="B19" s="4">
        <v>45163</v>
      </c>
      <c r="C19">
        <v>2023</v>
      </c>
      <c r="D19">
        <v>8</v>
      </c>
      <c r="E19">
        <v>25</v>
      </c>
      <c r="F19">
        <v>193</v>
      </c>
      <c r="G19">
        <v>192.024</v>
      </c>
      <c r="H19">
        <v>44</v>
      </c>
      <c r="I19">
        <f t="shared" si="0"/>
        <v>0.44</v>
      </c>
      <c r="J19">
        <f t="shared" si="1"/>
        <v>192.464</v>
      </c>
    </row>
    <row r="20" spans="1:10" x14ac:dyDescent="0.3">
      <c r="A20" t="s">
        <v>12</v>
      </c>
      <c r="B20" s="4">
        <v>45419</v>
      </c>
      <c r="C20">
        <v>2024</v>
      </c>
      <c r="D20">
        <v>5</v>
      </c>
      <c r="E20">
        <v>7</v>
      </c>
      <c r="F20">
        <v>60</v>
      </c>
      <c r="G20">
        <v>60.39</v>
      </c>
      <c r="H20">
        <v>70</v>
      </c>
      <c r="I20">
        <f t="shared" si="0"/>
        <v>0.7</v>
      </c>
      <c r="J20">
        <f t="shared" si="1"/>
        <v>61.09</v>
      </c>
    </row>
    <row r="21" spans="1:10" x14ac:dyDescent="0.3">
      <c r="A21" t="s">
        <v>12</v>
      </c>
      <c r="B21" s="4">
        <v>45434</v>
      </c>
      <c r="C21">
        <v>2024</v>
      </c>
      <c r="D21">
        <v>5</v>
      </c>
      <c r="E21">
        <v>22</v>
      </c>
      <c r="F21">
        <v>60</v>
      </c>
      <c r="G21">
        <v>60.39</v>
      </c>
      <c r="H21">
        <v>68</v>
      </c>
      <c r="I21">
        <f t="shared" si="0"/>
        <v>0.68</v>
      </c>
      <c r="J21">
        <f t="shared" si="1"/>
        <v>61.07</v>
      </c>
    </row>
    <row r="22" spans="1:10" x14ac:dyDescent="0.3">
      <c r="A22" t="s">
        <v>12</v>
      </c>
      <c r="B22" s="4">
        <v>45446</v>
      </c>
      <c r="C22">
        <v>2024</v>
      </c>
      <c r="D22">
        <v>6</v>
      </c>
      <c r="E22">
        <v>3</v>
      </c>
      <c r="F22">
        <v>60</v>
      </c>
      <c r="G22">
        <v>60.39</v>
      </c>
      <c r="H22">
        <v>63</v>
      </c>
      <c r="I22">
        <f t="shared" si="0"/>
        <v>0.63</v>
      </c>
      <c r="J22">
        <f t="shared" si="1"/>
        <v>61.02</v>
      </c>
    </row>
    <row r="23" spans="1:10" x14ac:dyDescent="0.3">
      <c r="A23" t="s">
        <v>12</v>
      </c>
      <c r="B23" s="4">
        <v>45461</v>
      </c>
      <c r="C23">
        <v>2024</v>
      </c>
      <c r="D23">
        <v>6</v>
      </c>
      <c r="E23">
        <v>18</v>
      </c>
      <c r="F23">
        <v>60</v>
      </c>
      <c r="G23">
        <v>60.39</v>
      </c>
      <c r="H23">
        <v>59</v>
      </c>
      <c r="I23">
        <f t="shared" si="0"/>
        <v>0.59</v>
      </c>
      <c r="J23">
        <f t="shared" si="1"/>
        <v>60.980000000000004</v>
      </c>
    </row>
    <row r="24" spans="1:10" x14ac:dyDescent="0.3">
      <c r="A24" t="s">
        <v>12</v>
      </c>
      <c r="B24" s="4">
        <v>45476</v>
      </c>
      <c r="C24">
        <v>2024</v>
      </c>
      <c r="D24">
        <v>7</v>
      </c>
      <c r="E24">
        <v>3</v>
      </c>
      <c r="F24">
        <v>60</v>
      </c>
      <c r="G24">
        <v>60.39</v>
      </c>
      <c r="H24">
        <v>56</v>
      </c>
      <c r="I24">
        <f t="shared" si="0"/>
        <v>0.56000000000000005</v>
      </c>
      <c r="J24">
        <f t="shared" si="1"/>
        <v>60.95</v>
      </c>
    </row>
    <row r="25" spans="1:10" x14ac:dyDescent="0.3">
      <c r="A25" t="s">
        <v>42</v>
      </c>
      <c r="B25" s="4">
        <v>45420</v>
      </c>
      <c r="C25">
        <v>2024</v>
      </c>
      <c r="D25">
        <v>5</v>
      </c>
      <c r="E25">
        <v>8</v>
      </c>
      <c r="F25">
        <v>149.35</v>
      </c>
      <c r="G25">
        <v>148.62700000000001</v>
      </c>
      <c r="H25">
        <v>58</v>
      </c>
      <c r="I25">
        <f t="shared" si="0"/>
        <v>0.57999999999999996</v>
      </c>
      <c r="J25">
        <f t="shared" si="1"/>
        <v>149.20700000000002</v>
      </c>
    </row>
    <row r="26" spans="1:10" x14ac:dyDescent="0.3">
      <c r="A26" t="s">
        <v>42</v>
      </c>
      <c r="B26" s="4">
        <v>45435</v>
      </c>
      <c r="C26">
        <v>2024</v>
      </c>
      <c r="D26">
        <v>5</v>
      </c>
      <c r="E26">
        <v>23</v>
      </c>
      <c r="F26">
        <v>149.35</v>
      </c>
      <c r="G26">
        <v>148.62700000000001</v>
      </c>
      <c r="H26">
        <v>55</v>
      </c>
      <c r="I26">
        <f t="shared" si="0"/>
        <v>0.55000000000000004</v>
      </c>
      <c r="J26">
        <f t="shared" si="1"/>
        <v>149.17700000000002</v>
      </c>
    </row>
    <row r="27" spans="1:10" x14ac:dyDescent="0.3">
      <c r="A27" t="s">
        <v>42</v>
      </c>
      <c r="B27" s="4">
        <v>45447</v>
      </c>
      <c r="C27">
        <v>2024</v>
      </c>
      <c r="D27">
        <v>6</v>
      </c>
      <c r="E27">
        <v>4</v>
      </c>
      <c r="F27">
        <v>149.35</v>
      </c>
      <c r="G27">
        <v>148.62700000000001</v>
      </c>
      <c r="H27">
        <v>49</v>
      </c>
      <c r="I27">
        <f t="shared" si="0"/>
        <v>0.49</v>
      </c>
      <c r="J27">
        <f t="shared" si="1"/>
        <v>149.11700000000002</v>
      </c>
    </row>
    <row r="28" spans="1:10" x14ac:dyDescent="0.3">
      <c r="A28" t="s">
        <v>42</v>
      </c>
      <c r="B28" s="4">
        <v>45461</v>
      </c>
      <c r="C28">
        <v>2024</v>
      </c>
      <c r="D28">
        <v>6</v>
      </c>
      <c r="E28">
        <v>18</v>
      </c>
      <c r="F28">
        <v>149.35</v>
      </c>
      <c r="G28">
        <v>148.62700000000001</v>
      </c>
      <c r="H28">
        <v>56</v>
      </c>
      <c r="I28">
        <f t="shared" si="0"/>
        <v>0.56000000000000005</v>
      </c>
      <c r="J28">
        <f t="shared" si="1"/>
        <v>149.18700000000001</v>
      </c>
    </row>
    <row r="29" spans="1:10" x14ac:dyDescent="0.3">
      <c r="A29" t="s">
        <v>42</v>
      </c>
      <c r="B29" s="4">
        <v>45476</v>
      </c>
      <c r="C29">
        <v>2024</v>
      </c>
      <c r="D29">
        <v>7</v>
      </c>
      <c r="E29">
        <v>3</v>
      </c>
      <c r="F29">
        <v>149.35</v>
      </c>
      <c r="G29">
        <v>148.62700000000001</v>
      </c>
      <c r="H29">
        <v>53</v>
      </c>
      <c r="I29">
        <f t="shared" si="0"/>
        <v>0.53</v>
      </c>
      <c r="J29">
        <f t="shared" si="1"/>
        <v>149.15700000000001</v>
      </c>
    </row>
    <row r="30" spans="1:10" x14ac:dyDescent="0.3">
      <c r="A30" t="s">
        <v>20</v>
      </c>
      <c r="B30" s="4">
        <v>45419</v>
      </c>
      <c r="C30">
        <v>2024</v>
      </c>
      <c r="D30">
        <v>5</v>
      </c>
      <c r="E30">
        <v>7</v>
      </c>
      <c r="F30">
        <v>193</v>
      </c>
      <c r="G30">
        <v>191.99700000000001</v>
      </c>
      <c r="H30">
        <v>38</v>
      </c>
      <c r="I30">
        <f t="shared" si="0"/>
        <v>0.38</v>
      </c>
      <c r="J30">
        <f t="shared" si="1"/>
        <v>192.37700000000001</v>
      </c>
    </row>
    <row r="31" spans="1:10" x14ac:dyDescent="0.3">
      <c r="A31" t="s">
        <v>20</v>
      </c>
      <c r="B31" s="4">
        <v>45434</v>
      </c>
      <c r="C31">
        <v>2024</v>
      </c>
      <c r="D31">
        <v>5</v>
      </c>
      <c r="E31">
        <v>22</v>
      </c>
      <c r="F31">
        <v>193</v>
      </c>
      <c r="G31">
        <v>191.99700000000001</v>
      </c>
      <c r="H31">
        <v>36</v>
      </c>
      <c r="I31">
        <f t="shared" si="0"/>
        <v>0.36</v>
      </c>
      <c r="J31">
        <f t="shared" si="1"/>
        <v>192.35700000000003</v>
      </c>
    </row>
    <row r="32" spans="1:10" x14ac:dyDescent="0.3">
      <c r="A32" t="s">
        <v>20</v>
      </c>
      <c r="B32" s="4">
        <v>45446</v>
      </c>
      <c r="C32">
        <v>2024</v>
      </c>
      <c r="D32">
        <v>6</v>
      </c>
      <c r="E32">
        <v>3</v>
      </c>
      <c r="F32">
        <v>193</v>
      </c>
      <c r="G32">
        <v>191.99700000000001</v>
      </c>
      <c r="H32">
        <v>29</v>
      </c>
      <c r="I32">
        <f t="shared" si="0"/>
        <v>0.28999999999999998</v>
      </c>
      <c r="J32">
        <f t="shared" si="1"/>
        <v>192.28700000000001</v>
      </c>
    </row>
    <row r="33" spans="1:10" x14ac:dyDescent="0.3">
      <c r="A33" t="s">
        <v>20</v>
      </c>
      <c r="B33" s="4">
        <v>45461</v>
      </c>
      <c r="C33">
        <v>2024</v>
      </c>
      <c r="D33">
        <v>6</v>
      </c>
      <c r="E33">
        <v>18</v>
      </c>
      <c r="F33">
        <v>193</v>
      </c>
      <c r="G33">
        <v>191.99700000000001</v>
      </c>
      <c r="H33">
        <v>40</v>
      </c>
      <c r="I33">
        <f t="shared" si="0"/>
        <v>0.4</v>
      </c>
      <c r="J33">
        <f t="shared" si="1"/>
        <v>192.39700000000002</v>
      </c>
    </row>
    <row r="34" spans="1:10" x14ac:dyDescent="0.3">
      <c r="A34" t="s">
        <v>20</v>
      </c>
      <c r="B34" s="4">
        <v>45476</v>
      </c>
      <c r="C34">
        <v>2024</v>
      </c>
      <c r="D34">
        <v>7</v>
      </c>
      <c r="E34">
        <v>3</v>
      </c>
      <c r="F34">
        <v>193</v>
      </c>
      <c r="G34">
        <v>191.99700000000001</v>
      </c>
      <c r="H34">
        <v>48.5</v>
      </c>
      <c r="I34">
        <f t="shared" si="0"/>
        <v>0.48499999999999999</v>
      </c>
      <c r="J34">
        <f t="shared" si="1"/>
        <v>192.48200000000003</v>
      </c>
    </row>
    <row r="35" spans="1:10" x14ac:dyDescent="0.3">
      <c r="B35" s="4"/>
    </row>
    <row r="36" spans="1:10" x14ac:dyDescent="0.3">
      <c r="B36" s="4"/>
    </row>
    <row r="37" spans="1:10" x14ac:dyDescent="0.3">
      <c r="B37" s="4"/>
    </row>
    <row r="38" spans="1:10" x14ac:dyDescent="0.3">
      <c r="B38" s="4"/>
    </row>
    <row r="39" spans="1:10" x14ac:dyDescent="0.3">
      <c r="B39" s="4"/>
    </row>
    <row r="40" spans="1:10" x14ac:dyDescent="0.3">
      <c r="B40" s="4"/>
    </row>
    <row r="41" spans="1:10" x14ac:dyDescent="0.3">
      <c r="B41" s="4"/>
    </row>
    <row r="42" spans="1:10" x14ac:dyDescent="0.3">
      <c r="B42" s="4"/>
    </row>
    <row r="43" spans="1:10" x14ac:dyDescent="0.3">
      <c r="B43" s="4"/>
    </row>
    <row r="44" spans="1:10" x14ac:dyDescent="0.3">
      <c r="B44" s="4"/>
    </row>
    <row r="45" spans="1:10" x14ac:dyDescent="0.3">
      <c r="B45" s="4"/>
    </row>
    <row r="46" spans="1:10" x14ac:dyDescent="0.3">
      <c r="B46" s="4"/>
    </row>
    <row r="47" spans="1:10" x14ac:dyDescent="0.3">
      <c r="B47" s="4"/>
    </row>
    <row r="48" spans="1:10" x14ac:dyDescent="0.3">
      <c r="B48" s="4"/>
    </row>
    <row r="49" spans="2:2" x14ac:dyDescent="0.3">
      <c r="B49" s="4"/>
    </row>
    <row r="50" spans="2:2" x14ac:dyDescent="0.3">
      <c r="B50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4c26ba68e1f345603a5d42dcc4496986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691c8769f775424403f1611ea6b7c553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06AFE04E-BDAB-4E27-B750-5B03480C32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b39a67-b605-444a-a1b7-54399609733b"/>
    <ds:schemaRef ds:uri="e7daefaf-87e9-4189-9db7-4371966a9c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36DA73-9917-41B3-B7C4-F18A145F0D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7FE21BC-1BDA-4C77-9ABB-79AA70A54C01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e7daefaf-87e9-4189-9db7-4371966a9c28"/>
    <ds:schemaRef ds:uri="90b39a67-b605-444a-a1b7-54399609733b"/>
    <ds:schemaRef ds:uri="http://purl.org/dc/dcmitype/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2</DocSecurity>
  <ScaleCrop>false</ScaleCrop>
  <HeadingPairs>
    <vt:vector size="2" baseType="variant">
      <vt:variant>
        <vt:lpstr>Rekneark</vt:lpstr>
      </vt:variant>
      <vt:variant>
        <vt:i4>2</vt:i4>
      </vt:variant>
    </vt:vector>
  </HeadingPairs>
  <TitlesOfParts>
    <vt:vector size="2" baseType="lpstr">
      <vt:lpstr>GPS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Hanne Bjørnås Krogstie</dc:creator>
  <cp:keywords/>
  <dc:description/>
  <cp:lastModifiedBy>Christianne Dalsbotten Solvåg</cp:lastModifiedBy>
  <cp:revision/>
  <dcterms:created xsi:type="dcterms:W3CDTF">2023-08-29T07:30:38Z</dcterms:created>
  <dcterms:modified xsi:type="dcterms:W3CDTF">2026-06-04T13:51:53Z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